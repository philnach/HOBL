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hobl\docs\"/>
    </mc:Choice>
  </mc:AlternateContent>
  <xr:revisionPtr revIDLastSave="0" documentId="13_ncr:1_{5EE7FCD8-A6F4-4EDB-9386-B30422303C29}" xr6:coauthVersionLast="47" xr6:coauthVersionMax="47" xr10:uidLastSave="{00000000-0000-0000-0000-000000000000}"/>
  <bookViews>
    <workbookView xWindow="-38080" yWindow="-8460" windowWidth="37330" windowHeight="15620" tabRatio="762" xr2:uid="{00000000-000D-0000-FFFF-FFFF00000000}"/>
  </bookViews>
  <sheets>
    <sheet name="HOBL" sheetId="1" r:id="rId1"/>
    <sheet name="Scenarios" sheetId="2" r:id="rId2"/>
    <sheet name="Touch Adder" sheetId="3" state="hidden" r:id="rId3"/>
    <sheet name="Scorecard" sheetId="4" r:id="rId4"/>
    <sheet name="Scorecard Full" sheetId="5" state="hidden" r:id="rId5"/>
    <sheet name="Config" sheetId="6" r:id="rId6"/>
    <sheet name="Power Summary" sheetId="7" r:id="rId7"/>
  </sheets>
  <definedNames>
    <definedName name="_xlcn.WorksheetConnection_AndromedaHoBLmodel20170128.xlsmActiveScenarios" localSheetId="0" hidden="1">ActiveScenarios</definedName>
    <definedName name="_xlcn.WorksheetConnection_AndromedaHoBLmodel20170128.xlsmActiveScenarios" localSheetId="1" hidden="1">ActiveScenarios</definedName>
    <definedName name="_xlcn.WorksheetConnection_AndromedaHoBLmodel20170128.xlsmActiveScenarios" localSheetId="3" hidden="1">ActiveScenarios</definedName>
    <definedName name="_xlcn.WorksheetConnection_AndromedaHoBLmodel20170128.xlsmActiveScenarios" localSheetId="4" hidden="1">ActiveScenarios</definedName>
    <definedName name="_xlcn.WorksheetConnection_AndromedaHoBLmodel20170128.xlsmActiveScenarios" hidden="1">ActiveScenarios</definedName>
    <definedName name="_xlcn.WorksheetConnection_AndromedaHoBLmodel20170128.xlsmActiveScenarios1" localSheetId="0" hidden="1">ActiveScenarios</definedName>
    <definedName name="_xlcn.WorksheetConnection_AndromedaHoBLmodel20170128.xlsmActiveScenarios1" localSheetId="1" hidden="1">ActiveScenarios</definedName>
    <definedName name="_xlcn.WorksheetConnection_AndromedaHoBLmodel20170128.xlsmActiveScenarios1" localSheetId="3" hidden="1">ActiveScenarios</definedName>
    <definedName name="_xlcn.WorksheetConnection_AndromedaHoBLmodel20170128.xlsmActiveScenarios1" localSheetId="4" hidden="1">ActiveScenarios</definedName>
    <definedName name="_xlcn.WorksheetConnection_AndromedaHoBLmodel20170128.xlsmActiveScenarios1" hidden="1">ActiveScenarios</definedName>
    <definedName name="a" localSheetId="0" hidden="1">ActiveScenarios</definedName>
    <definedName name="a" localSheetId="3" hidden="1">ActiveScenarios</definedName>
    <definedName name="a" localSheetId="4" hidden="1">ActiveScenarios</definedName>
    <definedName name="a" hidden="1">ActiveScenarios</definedName>
    <definedName name="ActiveScenarios_1" localSheetId="1" hidden="1">Scenarios!#REF!</definedName>
    <definedName name="ObsoleteConnection" localSheetId="0" hidden="1">ActiveScenarios</definedName>
    <definedName name="ObsoleteConnection" localSheetId="3" hidden="1">ActiveScenarios</definedName>
    <definedName name="ObsoleteConnection" localSheetId="4" hidden="1">ActiveScenarios</definedName>
    <definedName name="ObsoleteConnection" hidden="1">ActiveScenarios</definedName>
    <definedName name="ObsoleteConnection1" localSheetId="0" hidden="1">ActiveScenarios</definedName>
    <definedName name="ObsoleteConnection1" localSheetId="3" hidden="1">ActiveScenarios</definedName>
    <definedName name="ObsoleteConnection1" localSheetId="4" hidden="1">ActiveScenarios</definedName>
    <definedName name="ObsoleteConnection1" hidden="1">ActiveScenarios</definedName>
    <definedName name="Score_Prediction_ABL" localSheetId="0">HOBL!$G$35</definedName>
    <definedName name="Score_Prediction_ABL_Active" localSheetId="0">HOBL!$G$37</definedName>
    <definedName name="Score_Prediction_HoBL" localSheetId="0">HOBL!$G$34</definedName>
    <definedName name="Score_Prediction_HoBL_Active" localSheetId="0">HOBL!$G$29</definedName>
    <definedName name="Score_Prediction_HoBL_ScreenOff">HOBL!$G$30</definedName>
    <definedName name="Score_Prediction_LAP" localSheetId="0">HOBL!$G$38</definedName>
    <definedName name="Score_Prediction_LVP" localSheetId="0">HOBL!$G$39</definedName>
    <definedName name="Score_Prediction_Standby" localSheetId="0">HOBL!$G$31</definedName>
    <definedName name="Score_Prediction_Talktime" localSheetId="0">HOBL!$G$33</definedName>
    <definedName name="Variable_Battery_Active" localSheetId="0">HOBL!$G$26</definedName>
    <definedName name="Variable_Battery_Available">HOBL!$G$23</definedName>
    <definedName name="Variable_Battery_FCC" localSheetId="0">HOBL!$G$20</definedName>
    <definedName name="Variable_Battery_Minimum" localSheetId="0">HOBL!#REF!</definedName>
    <definedName name="Variable_Battery_Standby" localSheetId="0">HOBL!$G$24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5" l="1"/>
  <c r="Q13" i="5"/>
  <c r="W4" i="4"/>
  <c r="I15" i="5"/>
  <c r="AY19" i="5"/>
  <c r="AY14" i="5"/>
  <c r="AQ18" i="5"/>
  <c r="AQ4" i="5"/>
  <c r="AU18" i="5"/>
  <c r="S11" i="4"/>
  <c r="AU13" i="5"/>
  <c r="S4" i="4"/>
  <c r="AE15" i="5"/>
  <c r="AE12" i="5"/>
  <c r="AY7" i="4"/>
  <c r="AA20" i="5"/>
  <c r="AW10" i="4"/>
  <c r="K19" i="5"/>
  <c r="K8" i="5"/>
  <c r="K14" i="5"/>
  <c r="AO5" i="4"/>
  <c r="AG14" i="5"/>
  <c r="M18" i="5"/>
  <c r="I11" i="4"/>
  <c r="Y18" i="5"/>
  <c r="AU11" i="4"/>
  <c r="Y13" i="5"/>
  <c r="AU4" i="4"/>
  <c r="AS12" i="4"/>
  <c r="AK7" i="5"/>
  <c r="U20" i="5"/>
  <c r="U10" i="5"/>
  <c r="AK8" i="4"/>
  <c r="E14" i="5"/>
  <c r="E5" i="5"/>
  <c r="AQ20" i="5"/>
  <c r="AU20" i="5"/>
  <c r="Y20" i="5"/>
  <c r="AE19" i="5"/>
  <c r="AK19" i="5"/>
  <c r="U19" i="5"/>
  <c r="I18" i="5"/>
  <c r="AY18" i="5"/>
  <c r="K18" i="5"/>
  <c r="AG18" i="5"/>
  <c r="E18" i="5"/>
  <c r="BC20" i="5"/>
  <c r="BA20" i="5"/>
  <c r="AY20" i="5"/>
  <c r="AW20" i="5"/>
  <c r="AS20" i="5"/>
  <c r="AO20" i="5"/>
  <c r="AM20" i="5"/>
  <c r="AK20" i="5"/>
  <c r="AI20" i="5"/>
  <c r="AG20" i="5"/>
  <c r="AE20" i="5"/>
  <c r="AC20" i="5"/>
  <c r="W20" i="5"/>
  <c r="S20" i="5"/>
  <c r="Q20" i="5"/>
  <c r="O20" i="5"/>
  <c r="M20" i="5"/>
  <c r="K20" i="5"/>
  <c r="I20" i="5"/>
  <c r="G20" i="5"/>
  <c r="E20" i="5"/>
  <c r="C20" i="5"/>
  <c r="BC19" i="5"/>
  <c r="BA19" i="5"/>
  <c r="AW19" i="5"/>
  <c r="AU19" i="5"/>
  <c r="AS19" i="5"/>
  <c r="AQ19" i="5"/>
  <c r="AO19" i="5"/>
  <c r="AM19" i="5"/>
  <c r="AI19" i="5"/>
  <c r="AC19" i="5"/>
  <c r="AA19" i="5"/>
  <c r="Y19" i="5"/>
  <c r="W19" i="5"/>
  <c r="S19" i="5"/>
  <c r="Q19" i="5"/>
  <c r="O19" i="5"/>
  <c r="M19" i="5"/>
  <c r="I19" i="5"/>
  <c r="G19" i="5"/>
  <c r="C19" i="5"/>
  <c r="BC18" i="5"/>
  <c r="BB18" i="5"/>
  <c r="BA18" i="5"/>
  <c r="AZ18" i="5"/>
  <c r="AX18" i="5"/>
  <c r="AW18" i="5"/>
  <c r="AV18" i="5"/>
  <c r="AT18" i="5"/>
  <c r="AS18" i="5"/>
  <c r="AR18" i="5"/>
  <c r="AP18" i="5"/>
  <c r="AO18" i="5"/>
  <c r="AN18" i="5"/>
  <c r="AM18" i="5"/>
  <c r="AL18" i="5"/>
  <c r="AK18" i="5"/>
  <c r="AJ18" i="5"/>
  <c r="AI18" i="5"/>
  <c r="AH18" i="5"/>
  <c r="AF18" i="5"/>
  <c r="AE18" i="5"/>
  <c r="AD18" i="5"/>
  <c r="AC18" i="5"/>
  <c r="AB18" i="5"/>
  <c r="AA18" i="5"/>
  <c r="Z18" i="5"/>
  <c r="X18" i="5"/>
  <c r="W18" i="5"/>
  <c r="V18" i="5"/>
  <c r="U18" i="5"/>
  <c r="T18" i="5"/>
  <c r="S18" i="5"/>
  <c r="R18" i="5"/>
  <c r="P18" i="5"/>
  <c r="O18" i="5"/>
  <c r="N18" i="5"/>
  <c r="L18" i="5"/>
  <c r="J18" i="5"/>
  <c r="H18" i="5"/>
  <c r="G18" i="5"/>
  <c r="F18" i="5"/>
  <c r="D18" i="5"/>
  <c r="C18" i="5"/>
  <c r="B18" i="5"/>
  <c r="BC17" i="5"/>
  <c r="BA17" i="5"/>
  <c r="AY17" i="5"/>
  <c r="AW17" i="5"/>
  <c r="AU17" i="5"/>
  <c r="AS17" i="5"/>
  <c r="AQ17" i="5"/>
  <c r="AO17" i="5"/>
  <c r="AM17" i="5"/>
  <c r="AK17" i="5"/>
  <c r="AI17" i="5"/>
  <c r="AG17" i="5"/>
  <c r="AE17" i="5"/>
  <c r="AC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BC16" i="5"/>
  <c r="BA16" i="5"/>
  <c r="AY16" i="5"/>
  <c r="AW16" i="5"/>
  <c r="AU16" i="5"/>
  <c r="AS16" i="5"/>
  <c r="AQ16" i="5"/>
  <c r="AO16" i="5"/>
  <c r="AM16" i="5"/>
  <c r="AK16" i="5"/>
  <c r="AI16" i="5"/>
  <c r="AG16" i="5"/>
  <c r="AE16" i="5"/>
  <c r="AC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BC15" i="5"/>
  <c r="BA15" i="5"/>
  <c r="AY15" i="5"/>
  <c r="AW15" i="5"/>
  <c r="AU15" i="5"/>
  <c r="AS15" i="5"/>
  <c r="AQ15" i="5"/>
  <c r="AO15" i="5"/>
  <c r="AM15" i="5"/>
  <c r="AI15" i="5"/>
  <c r="AG15" i="5"/>
  <c r="AA15" i="5"/>
  <c r="Y15" i="5"/>
  <c r="W15" i="5"/>
  <c r="U15" i="5"/>
  <c r="S15" i="5"/>
  <c r="Q15" i="5"/>
  <c r="O15" i="5"/>
  <c r="M15" i="5"/>
  <c r="K15" i="5"/>
  <c r="G15" i="5"/>
  <c r="E15" i="5"/>
  <c r="C15" i="5"/>
  <c r="BC14" i="5"/>
  <c r="BA14" i="5"/>
  <c r="AW14" i="5"/>
  <c r="AU14" i="5"/>
  <c r="AS14" i="5"/>
  <c r="AQ14" i="5"/>
  <c r="AO14" i="5"/>
  <c r="AM14" i="5"/>
  <c r="AK14" i="5"/>
  <c r="AI14" i="5"/>
  <c r="AE14" i="5"/>
  <c r="AC14" i="5"/>
  <c r="AA14" i="5"/>
  <c r="Y14" i="5"/>
  <c r="W14" i="5"/>
  <c r="U14" i="5"/>
  <c r="S14" i="5"/>
  <c r="Q14" i="5"/>
  <c r="O14" i="5"/>
  <c r="M14" i="5"/>
  <c r="I14" i="5"/>
  <c r="G14" i="5"/>
  <c r="C14" i="5"/>
  <c r="BC13" i="5"/>
  <c r="BA13" i="5"/>
  <c r="AY13" i="5"/>
  <c r="AW13" i="5"/>
  <c r="AS13" i="5"/>
  <c r="AQ13" i="5"/>
  <c r="AO13" i="5"/>
  <c r="AM13" i="5"/>
  <c r="AK13" i="5"/>
  <c r="AI13" i="5"/>
  <c r="AG13" i="5"/>
  <c r="AE13" i="5"/>
  <c r="AC13" i="5"/>
  <c r="AA13" i="5"/>
  <c r="W13" i="5"/>
  <c r="U13" i="5"/>
  <c r="S13" i="5"/>
  <c r="O13" i="5"/>
  <c r="M13" i="5"/>
  <c r="K13" i="5"/>
  <c r="I13" i="5"/>
  <c r="G13" i="5"/>
  <c r="E13" i="5"/>
  <c r="C13" i="5"/>
  <c r="BC12" i="5"/>
  <c r="BA12" i="5"/>
  <c r="AY12" i="5"/>
  <c r="AW12" i="5"/>
  <c r="AU12" i="5"/>
  <c r="AS12" i="5"/>
  <c r="AQ12" i="5"/>
  <c r="AO12" i="5"/>
  <c r="AM12" i="5"/>
  <c r="AI12" i="5"/>
  <c r="AG12" i="5"/>
  <c r="AC12" i="5"/>
  <c r="AA12" i="5"/>
  <c r="Y12" i="5"/>
  <c r="U12" i="5"/>
  <c r="S12" i="5"/>
  <c r="Q12" i="5"/>
  <c r="O12" i="5"/>
  <c r="M12" i="5"/>
  <c r="K12" i="5"/>
  <c r="I12" i="5"/>
  <c r="G12" i="5"/>
  <c r="E12" i="5"/>
  <c r="C12" i="5"/>
  <c r="BC11" i="5"/>
  <c r="BA11" i="5"/>
  <c r="AY11" i="5"/>
  <c r="AW11" i="5"/>
  <c r="AU11" i="5"/>
  <c r="AS11" i="5"/>
  <c r="AQ11" i="5"/>
  <c r="AO11" i="5"/>
  <c r="AM11" i="5"/>
  <c r="AK11" i="5"/>
  <c r="AI11" i="5"/>
  <c r="AG11" i="5"/>
  <c r="AE11" i="5"/>
  <c r="AC11" i="5"/>
  <c r="AA11" i="5"/>
  <c r="Y11" i="5"/>
  <c r="W11" i="5"/>
  <c r="U11" i="5"/>
  <c r="S11" i="5"/>
  <c r="Q11" i="5"/>
  <c r="O11" i="5"/>
  <c r="M11" i="5"/>
  <c r="K11" i="5"/>
  <c r="I11" i="5"/>
  <c r="G11" i="5"/>
  <c r="E11" i="5"/>
  <c r="C11" i="5"/>
  <c r="BC10" i="5"/>
  <c r="BA10" i="5"/>
  <c r="AY10" i="5"/>
  <c r="AW10" i="5"/>
  <c r="AU10" i="5"/>
  <c r="AS10" i="5"/>
  <c r="AQ10" i="5"/>
  <c r="AO10" i="5"/>
  <c r="AM10" i="5"/>
  <c r="AK10" i="5"/>
  <c r="AI10" i="5"/>
  <c r="AG10" i="5"/>
  <c r="AE10" i="5"/>
  <c r="AC10" i="5"/>
  <c r="Y10" i="5"/>
  <c r="W10" i="5"/>
  <c r="S10" i="5"/>
  <c r="Q10" i="5"/>
  <c r="O10" i="5"/>
  <c r="M10" i="5"/>
  <c r="K10" i="5"/>
  <c r="I10" i="5"/>
  <c r="G10" i="5"/>
  <c r="E10" i="5"/>
  <c r="C10" i="5"/>
  <c r="BC9" i="5"/>
  <c r="BA9" i="5"/>
  <c r="AY9" i="5"/>
  <c r="AW9" i="5"/>
  <c r="AU9" i="5"/>
  <c r="AS9" i="5"/>
  <c r="AQ9" i="5"/>
  <c r="AO9" i="5"/>
  <c r="AM9" i="5"/>
  <c r="AK9" i="5"/>
  <c r="AI9" i="5"/>
  <c r="AG9" i="5"/>
  <c r="AE9" i="5"/>
  <c r="AC9" i="5"/>
  <c r="AA9" i="5"/>
  <c r="Y9" i="5"/>
  <c r="W9" i="5"/>
  <c r="U9" i="5"/>
  <c r="S9" i="5"/>
  <c r="Q9" i="5"/>
  <c r="O9" i="5"/>
  <c r="M9" i="5"/>
  <c r="K9" i="5"/>
  <c r="I9" i="5"/>
  <c r="G9" i="5"/>
  <c r="E9" i="5"/>
  <c r="C9" i="5"/>
  <c r="BC8" i="5"/>
  <c r="BA8" i="5"/>
  <c r="AY8" i="5"/>
  <c r="AW8" i="5"/>
  <c r="AU8" i="5"/>
  <c r="AS8" i="5"/>
  <c r="AQ8" i="5"/>
  <c r="AO8" i="5"/>
  <c r="AM8" i="5"/>
  <c r="AK8" i="5"/>
  <c r="AI8" i="5"/>
  <c r="AG8" i="5"/>
  <c r="AE8" i="5"/>
  <c r="AC8" i="5"/>
  <c r="AA8" i="5"/>
  <c r="Y8" i="5"/>
  <c r="W8" i="5"/>
  <c r="U8" i="5"/>
  <c r="S8" i="5"/>
  <c r="Q8" i="5"/>
  <c r="O8" i="5"/>
  <c r="M8" i="5"/>
  <c r="I8" i="5"/>
  <c r="G8" i="5"/>
  <c r="C8" i="5"/>
  <c r="BC7" i="5"/>
  <c r="BA7" i="5"/>
  <c r="AY7" i="5"/>
  <c r="AW7" i="5"/>
  <c r="AU7" i="5"/>
  <c r="AS7" i="5"/>
  <c r="AQ7" i="5"/>
  <c r="AO7" i="5"/>
  <c r="AM7" i="5"/>
  <c r="AI7" i="5"/>
  <c r="AG7" i="5"/>
  <c r="AE7" i="5"/>
  <c r="AC7" i="5"/>
  <c r="AA7" i="5"/>
  <c r="Y7" i="5"/>
  <c r="W7" i="5"/>
  <c r="U7" i="5"/>
  <c r="S7" i="5"/>
  <c r="Q7" i="5"/>
  <c r="O7" i="5"/>
  <c r="M7" i="5"/>
  <c r="K7" i="5"/>
  <c r="G7" i="5"/>
  <c r="E7" i="5"/>
  <c r="C7" i="5"/>
  <c r="BC6" i="5"/>
  <c r="BA6" i="5"/>
  <c r="AY6" i="5"/>
  <c r="AW6" i="5"/>
  <c r="AU6" i="5"/>
  <c r="AS6" i="5"/>
  <c r="AQ6" i="5"/>
  <c r="AO6" i="5"/>
  <c r="AM6" i="5"/>
  <c r="AK6" i="5"/>
  <c r="AI6" i="5"/>
  <c r="AG6" i="5"/>
  <c r="AE6" i="5"/>
  <c r="AC6" i="5"/>
  <c r="AA6" i="5"/>
  <c r="Y6" i="5"/>
  <c r="W6" i="5"/>
  <c r="U6" i="5"/>
  <c r="S6" i="5"/>
  <c r="Q6" i="5"/>
  <c r="O6" i="5"/>
  <c r="M6" i="5"/>
  <c r="K6" i="5"/>
  <c r="I6" i="5"/>
  <c r="G6" i="5"/>
  <c r="E6" i="5"/>
  <c r="C6" i="5"/>
  <c r="BC5" i="5"/>
  <c r="BA5" i="5"/>
  <c r="AY5" i="5"/>
  <c r="AW5" i="5"/>
  <c r="AU5" i="5"/>
  <c r="AS5" i="5"/>
  <c r="AQ5" i="5"/>
  <c r="AO5" i="5"/>
  <c r="AM5" i="5"/>
  <c r="AK5" i="5"/>
  <c r="AI5" i="5"/>
  <c r="AG5" i="5"/>
  <c r="AE5" i="5"/>
  <c r="AC5" i="5"/>
  <c r="AA5" i="5"/>
  <c r="Y5" i="5"/>
  <c r="W5" i="5"/>
  <c r="U5" i="5"/>
  <c r="S5" i="5"/>
  <c r="Q5" i="5"/>
  <c r="O5" i="5"/>
  <c r="M5" i="5"/>
  <c r="K5" i="5"/>
  <c r="I5" i="5"/>
  <c r="G5" i="5"/>
  <c r="C5" i="5"/>
  <c r="BC4" i="5"/>
  <c r="BA4" i="5"/>
  <c r="AY4" i="5"/>
  <c r="AW4" i="5"/>
  <c r="AS4" i="5"/>
  <c r="AO4" i="5"/>
  <c r="AM4" i="5"/>
  <c r="AK4" i="5"/>
  <c r="AI4" i="5"/>
  <c r="AG4" i="5"/>
  <c r="AE4" i="5"/>
  <c r="AC4" i="5"/>
  <c r="AA4" i="5"/>
  <c r="W4" i="5"/>
  <c r="U4" i="5"/>
  <c r="S4" i="5"/>
  <c r="O4" i="5"/>
  <c r="M4" i="5"/>
  <c r="K4" i="5"/>
  <c r="I4" i="5"/>
  <c r="G4" i="5"/>
  <c r="E4" i="5"/>
  <c r="C4" i="5"/>
  <c r="BA16" i="4"/>
  <c r="AY16" i="4"/>
  <c r="AU16" i="4"/>
  <c r="AS16" i="4"/>
  <c r="AO16" i="4"/>
  <c r="AM16" i="4"/>
  <c r="AK16" i="4"/>
  <c r="AI16" i="4"/>
  <c r="AG16" i="4"/>
  <c r="AE16" i="4"/>
  <c r="AC16" i="4"/>
  <c r="AA16" i="4"/>
  <c r="Y16" i="4"/>
  <c r="W16" i="4"/>
  <c r="U16" i="4"/>
  <c r="S16" i="4"/>
  <c r="Q16" i="4"/>
  <c r="O16" i="4"/>
  <c r="M16" i="4"/>
  <c r="K16" i="4"/>
  <c r="I16" i="4"/>
  <c r="BC16" i="4"/>
  <c r="C16" i="4"/>
  <c r="G16" i="4"/>
  <c r="E16" i="4"/>
  <c r="AY15" i="4"/>
  <c r="AW15" i="4"/>
  <c r="AU15" i="4"/>
  <c r="AS15" i="4"/>
  <c r="AQ15" i="4"/>
  <c r="AM15" i="4"/>
  <c r="AI15" i="4"/>
  <c r="AG15" i="4"/>
  <c r="AE15" i="4"/>
  <c r="K35" i="2" s="1"/>
  <c r="AC15" i="4"/>
  <c r="AA15" i="4"/>
  <c r="Y15" i="4"/>
  <c r="W15" i="4"/>
  <c r="U15" i="4"/>
  <c r="S15" i="4"/>
  <c r="Q15" i="4"/>
  <c r="K24" i="2" s="1"/>
  <c r="O15" i="4"/>
  <c r="M15" i="4"/>
  <c r="K15" i="4"/>
  <c r="I15" i="4"/>
  <c r="BC15" i="4"/>
  <c r="C15" i="4"/>
  <c r="K48" i="2" s="1"/>
  <c r="G15" i="4"/>
  <c r="K40" i="2" s="1"/>
  <c r="E15" i="4"/>
  <c r="BA14" i="4"/>
  <c r="AY14" i="4"/>
  <c r="AW14" i="4"/>
  <c r="AS14" i="4"/>
  <c r="AQ14" i="4"/>
  <c r="AO14" i="4"/>
  <c r="AM14" i="4"/>
  <c r="AK14" i="4"/>
  <c r="AI14" i="4"/>
  <c r="AG14" i="4"/>
  <c r="AE14" i="4"/>
  <c r="AC14" i="4"/>
  <c r="AA14" i="4"/>
  <c r="Y14" i="4"/>
  <c r="U14" i="4"/>
  <c r="Q14" i="4"/>
  <c r="O14" i="4"/>
  <c r="M14" i="4"/>
  <c r="K14" i="4"/>
  <c r="BC14" i="4"/>
  <c r="C14" i="4"/>
  <c r="B14" i="4"/>
  <c r="G14" i="4"/>
  <c r="E14" i="4"/>
  <c r="BA13" i="4"/>
  <c r="AY13" i="4"/>
  <c r="AW13" i="4"/>
  <c r="AU13" i="4"/>
  <c r="AS13" i="4"/>
  <c r="AQ13" i="4"/>
  <c r="AO13" i="4"/>
  <c r="AM13" i="4"/>
  <c r="AK13" i="4"/>
  <c r="AI13" i="4"/>
  <c r="AG13" i="4"/>
  <c r="AE13" i="4"/>
  <c r="AC13" i="4"/>
  <c r="AA13" i="4"/>
  <c r="Y13" i="4"/>
  <c r="W13" i="4"/>
  <c r="U13" i="4"/>
  <c r="S13" i="4"/>
  <c r="O13" i="4"/>
  <c r="M13" i="4"/>
  <c r="I13" i="4"/>
  <c r="C13" i="4"/>
  <c r="G13" i="4"/>
  <c r="E13" i="4"/>
  <c r="BA12" i="4"/>
  <c r="AW12" i="4"/>
  <c r="AU12" i="4"/>
  <c r="AQ12" i="4"/>
  <c r="AO12" i="4"/>
  <c r="AM12" i="4"/>
  <c r="AK12" i="4"/>
  <c r="AI12" i="4"/>
  <c r="AG12" i="4"/>
  <c r="AE12" i="4"/>
  <c r="AC12" i="4"/>
  <c r="AA12" i="4"/>
  <c r="Y12" i="4"/>
  <c r="W12" i="4"/>
  <c r="U12" i="4"/>
  <c r="S12" i="4"/>
  <c r="Q12" i="4"/>
  <c r="O12" i="4"/>
  <c r="M12" i="4"/>
  <c r="K12" i="4"/>
  <c r="I12" i="4"/>
  <c r="C12" i="4"/>
  <c r="G12" i="4"/>
  <c r="E12" i="4"/>
  <c r="BA11" i="4"/>
  <c r="AY11" i="4"/>
  <c r="AW11" i="4"/>
  <c r="AS11" i="4"/>
  <c r="AQ11" i="4"/>
  <c r="AO11" i="4"/>
  <c r="AM11" i="4"/>
  <c r="AK11" i="4"/>
  <c r="AI11" i="4"/>
  <c r="AG11" i="4"/>
  <c r="AE11" i="4"/>
  <c r="AC11" i="4"/>
  <c r="AA11" i="4"/>
  <c r="Y11" i="4"/>
  <c r="W11" i="4"/>
  <c r="U11" i="4"/>
  <c r="Q11" i="4"/>
  <c r="O11" i="4"/>
  <c r="M11" i="4"/>
  <c r="K11" i="4"/>
  <c r="BC11" i="4"/>
  <c r="C11" i="4"/>
  <c r="G11" i="4"/>
  <c r="E11" i="4"/>
  <c r="BA10" i="4"/>
  <c r="AY10" i="4"/>
  <c r="AU10" i="4"/>
  <c r="AS10" i="4"/>
  <c r="AQ10" i="4"/>
  <c r="AO10" i="4"/>
  <c r="AM10" i="4"/>
  <c r="AK10" i="4"/>
  <c r="AI10" i="4"/>
  <c r="AG10" i="4"/>
  <c r="AE10" i="4"/>
  <c r="AC10" i="4"/>
  <c r="AA10" i="4"/>
  <c r="Y10" i="4"/>
  <c r="W10" i="4"/>
  <c r="U10" i="4"/>
  <c r="S10" i="4"/>
  <c r="Q10" i="4"/>
  <c r="O10" i="4"/>
  <c r="M10" i="4"/>
  <c r="K10" i="4"/>
  <c r="I10" i="4"/>
  <c r="BC10" i="4"/>
  <c r="C10" i="4"/>
  <c r="G10" i="4"/>
  <c r="E10" i="4"/>
  <c r="BA9" i="4"/>
  <c r="AY9" i="4"/>
  <c r="AW9" i="4"/>
  <c r="AU9" i="4"/>
  <c r="AS9" i="4"/>
  <c r="AQ9" i="4"/>
  <c r="AO9" i="4"/>
  <c r="AM9" i="4"/>
  <c r="AK9" i="4"/>
  <c r="AI9" i="4"/>
  <c r="AG9" i="4"/>
  <c r="AE9" i="4"/>
  <c r="AC9" i="4"/>
  <c r="AA9" i="4"/>
  <c r="Y9" i="4"/>
  <c r="W9" i="4"/>
  <c r="U9" i="4"/>
  <c r="S9" i="4"/>
  <c r="Q9" i="4"/>
  <c r="O9" i="4"/>
  <c r="M9" i="4"/>
  <c r="K9" i="4"/>
  <c r="I9" i="4"/>
  <c r="BC9" i="4"/>
  <c r="C9" i="4"/>
  <c r="G9" i="4"/>
  <c r="E9" i="4"/>
  <c r="BA8" i="4"/>
  <c r="AY8" i="4"/>
  <c r="AW8" i="4"/>
  <c r="AU8" i="4"/>
  <c r="AS8" i="4"/>
  <c r="AQ8" i="4"/>
  <c r="AO8" i="4"/>
  <c r="AM8" i="4"/>
  <c r="AI8" i="4"/>
  <c r="AG8" i="4"/>
  <c r="AE8" i="4"/>
  <c r="AC8" i="4"/>
  <c r="AA8" i="4"/>
  <c r="Y8" i="4"/>
  <c r="W8" i="4"/>
  <c r="U8" i="4"/>
  <c r="S8" i="4"/>
  <c r="Q8" i="4"/>
  <c r="O8" i="4"/>
  <c r="M8" i="4"/>
  <c r="K8" i="4"/>
  <c r="I8" i="4"/>
  <c r="BC8" i="4"/>
  <c r="C8" i="4"/>
  <c r="G8" i="4"/>
  <c r="E8" i="4"/>
  <c r="BA7" i="4"/>
  <c r="AW7" i="4"/>
  <c r="AU7" i="4"/>
  <c r="AS7" i="4"/>
  <c r="AQ7" i="4"/>
  <c r="AO7" i="4"/>
  <c r="AM7" i="4"/>
  <c r="AK7" i="4"/>
  <c r="AI7" i="4"/>
  <c r="AG7" i="4"/>
  <c r="AE7" i="4"/>
  <c r="AC7" i="4"/>
  <c r="AA7" i="4"/>
  <c r="Y7" i="4"/>
  <c r="W7" i="4"/>
  <c r="U7" i="4"/>
  <c r="S7" i="4"/>
  <c r="Q7" i="4"/>
  <c r="O7" i="4"/>
  <c r="M7" i="4"/>
  <c r="I7" i="4"/>
  <c r="C7" i="4"/>
  <c r="G7" i="4"/>
  <c r="E7" i="4"/>
  <c r="BA6" i="4"/>
  <c r="AY6" i="4"/>
  <c r="AW6" i="4"/>
  <c r="AU6" i="4"/>
  <c r="AS6" i="4"/>
  <c r="AQ6" i="4"/>
  <c r="AO6" i="4"/>
  <c r="AM6" i="4"/>
  <c r="AK6" i="4"/>
  <c r="AI6" i="4"/>
  <c r="AG6" i="4"/>
  <c r="AE6" i="4"/>
  <c r="AC6" i="4"/>
  <c r="AA6" i="4"/>
  <c r="Y6" i="4"/>
  <c r="W6" i="4"/>
  <c r="U6" i="4"/>
  <c r="S6" i="4"/>
  <c r="Q6" i="4"/>
  <c r="O6" i="4"/>
  <c r="M6" i="4"/>
  <c r="K6" i="4"/>
  <c r="I6" i="4"/>
  <c r="BC6" i="4"/>
  <c r="C6" i="4"/>
  <c r="G6" i="4"/>
  <c r="E6" i="4"/>
  <c r="BA5" i="4"/>
  <c r="AY5" i="4"/>
  <c r="AW5" i="4"/>
  <c r="AU5" i="4"/>
  <c r="AS5" i="4"/>
  <c r="AQ5" i="4"/>
  <c r="AM5" i="4"/>
  <c r="AK5" i="4"/>
  <c r="AI5" i="4"/>
  <c r="AG5" i="4"/>
  <c r="AE5" i="4"/>
  <c r="AC5" i="4"/>
  <c r="AA5" i="4"/>
  <c r="Y5" i="4"/>
  <c r="W5" i="4"/>
  <c r="U5" i="4"/>
  <c r="S5" i="4"/>
  <c r="Q5" i="4"/>
  <c r="O5" i="4"/>
  <c r="M5" i="4"/>
  <c r="K5" i="4"/>
  <c r="I5" i="4"/>
  <c r="BC5" i="4"/>
  <c r="C5" i="4"/>
  <c r="G5" i="4"/>
  <c r="E5" i="4"/>
  <c r="BA4" i="4"/>
  <c r="AY4" i="4"/>
  <c r="AW4" i="4"/>
  <c r="AS4" i="4"/>
  <c r="AQ4" i="4"/>
  <c r="AO4" i="4"/>
  <c r="AM4" i="4"/>
  <c r="AK4" i="4"/>
  <c r="AI4" i="4"/>
  <c r="AG4" i="4"/>
  <c r="AE4" i="4"/>
  <c r="AC4" i="4"/>
  <c r="AA4" i="4"/>
  <c r="Y4" i="4"/>
  <c r="U4" i="4"/>
  <c r="Q4" i="4"/>
  <c r="O4" i="4"/>
  <c r="M4" i="4"/>
  <c r="K4" i="4"/>
  <c r="I4" i="4"/>
  <c r="BC4" i="4"/>
  <c r="C4" i="4"/>
  <c r="G4" i="4"/>
  <c r="E4" i="4"/>
  <c r="AZ1" i="4"/>
  <c r="AX1" i="4"/>
  <c r="AV1" i="4"/>
  <c r="AT1" i="4"/>
  <c r="AR1" i="4"/>
  <c r="AP1" i="4"/>
  <c r="AN1" i="4"/>
  <c r="AL1" i="4"/>
  <c r="AJ1" i="4"/>
  <c r="AH1" i="4"/>
  <c r="AF1" i="4"/>
  <c r="AD1" i="4"/>
  <c r="AB1" i="4"/>
  <c r="Z1" i="4"/>
  <c r="X1" i="4"/>
  <c r="V1" i="4"/>
  <c r="T1" i="4"/>
  <c r="R1" i="4"/>
  <c r="P1" i="4"/>
  <c r="N1" i="4"/>
  <c r="L1" i="4"/>
  <c r="J1" i="4"/>
  <c r="H1" i="4"/>
  <c r="BB1" i="4"/>
  <c r="B1" i="4"/>
  <c r="F1" i="4"/>
  <c r="D1" i="4"/>
  <c r="E48" i="2"/>
  <c r="B48" i="2"/>
  <c r="A48" i="2" s="1"/>
  <c r="E47" i="2"/>
  <c r="B47" i="2"/>
  <c r="A47" i="2" s="1"/>
  <c r="E46" i="2"/>
  <c r="B46" i="2"/>
  <c r="A46" i="2"/>
  <c r="E45" i="2"/>
  <c r="B45" i="2"/>
  <c r="A45" i="2" s="1"/>
  <c r="E44" i="2"/>
  <c r="B44" i="2"/>
  <c r="A44" i="2" s="1"/>
  <c r="E43" i="2"/>
  <c r="B43" i="2"/>
  <c r="A43" i="2" s="1"/>
  <c r="E42" i="2"/>
  <c r="B42" i="2"/>
  <c r="A42" i="2" s="1"/>
  <c r="E41" i="2"/>
  <c r="B41" i="2"/>
  <c r="A41" i="2"/>
  <c r="E40" i="2"/>
  <c r="B40" i="2"/>
  <c r="A40" i="2" s="1"/>
  <c r="E39" i="2"/>
  <c r="B39" i="2"/>
  <c r="A39" i="2" s="1"/>
  <c r="E38" i="2"/>
  <c r="B38" i="2"/>
  <c r="A38" i="2" s="1"/>
  <c r="E37" i="2"/>
  <c r="B37" i="2"/>
  <c r="A37" i="2"/>
  <c r="E36" i="2"/>
  <c r="B36" i="2"/>
  <c r="A36" i="2" s="1"/>
  <c r="E35" i="2"/>
  <c r="B35" i="2"/>
  <c r="A35" i="2"/>
  <c r="E34" i="2"/>
  <c r="B34" i="2"/>
  <c r="A34" i="2" s="1"/>
  <c r="E33" i="2"/>
  <c r="B33" i="2"/>
  <c r="A33" i="2" s="1"/>
  <c r="E32" i="2"/>
  <c r="B32" i="2"/>
  <c r="A32" i="2" s="1"/>
  <c r="E31" i="2"/>
  <c r="B31" i="2"/>
  <c r="A31" i="2" s="1"/>
  <c r="E30" i="2"/>
  <c r="B30" i="2"/>
  <c r="A30" i="2" s="1"/>
  <c r="E29" i="2"/>
  <c r="B29" i="2"/>
  <c r="A29" i="2"/>
  <c r="E28" i="2"/>
  <c r="B28" i="2"/>
  <c r="A28" i="2" s="1"/>
  <c r="E27" i="2"/>
  <c r="B27" i="2"/>
  <c r="A27" i="2" s="1"/>
  <c r="E26" i="2"/>
  <c r="B26" i="2"/>
  <c r="A26" i="2" s="1"/>
  <c r="E25" i="2"/>
  <c r="B25" i="2"/>
  <c r="A25" i="2"/>
  <c r="E24" i="2"/>
  <c r="B24" i="2"/>
  <c r="A24" i="2" s="1"/>
  <c r="E23" i="2"/>
  <c r="B23" i="2"/>
  <c r="A23" i="2" s="1"/>
  <c r="E22" i="2"/>
  <c r="B22" i="2"/>
  <c r="A22" i="2" s="1"/>
  <c r="C16" i="2"/>
  <c r="C15" i="2"/>
  <c r="C14" i="2"/>
  <c r="C13" i="2"/>
  <c r="C12" i="2"/>
  <c r="C11" i="2"/>
  <c r="C10" i="2"/>
  <c r="C9" i="2"/>
  <c r="C8" i="2"/>
  <c r="C7" i="2"/>
  <c r="C6" i="2"/>
  <c r="C5" i="2"/>
  <c r="C4" i="2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X39" i="1"/>
  <c r="X38" i="1"/>
  <c r="L38" i="1" s="1"/>
  <c r="X37" i="1"/>
  <c r="L37" i="1" s="1"/>
  <c r="X36" i="1"/>
  <c r="L36" i="1" s="1"/>
  <c r="X35" i="1"/>
  <c r="L35" i="1" s="1"/>
  <c r="X34" i="1"/>
  <c r="L34" i="1" s="1"/>
  <c r="X33" i="1"/>
  <c r="L33" i="1" s="1"/>
  <c r="X32" i="1"/>
  <c r="X31" i="1"/>
  <c r="L31" i="1" s="1"/>
  <c r="X30" i="1"/>
  <c r="X29" i="1"/>
  <c r="X28" i="1"/>
  <c r="X27" i="1"/>
  <c r="X26" i="1"/>
  <c r="X25" i="1"/>
  <c r="X24" i="1"/>
  <c r="X23" i="1"/>
  <c r="X22" i="1"/>
  <c r="L22" i="1" s="1"/>
  <c r="G22" i="1"/>
  <c r="X21" i="1"/>
  <c r="L21" i="1" s="1"/>
  <c r="G21" i="1"/>
  <c r="G23" i="1" s="1"/>
  <c r="X20" i="1"/>
  <c r="L20" i="1" s="1"/>
  <c r="X19" i="1"/>
  <c r="L19" i="1" s="1"/>
  <c r="X18" i="1"/>
  <c r="E18" i="1"/>
  <c r="X17" i="1"/>
  <c r="L17" i="1" s="1"/>
  <c r="D17" i="1"/>
  <c r="D16" i="1" s="1"/>
  <c r="X16" i="1"/>
  <c r="L16" i="1" s="1"/>
  <c r="X15" i="1"/>
  <c r="D15" i="1"/>
  <c r="X14" i="1"/>
  <c r="L14" i="1" s="1"/>
  <c r="X13" i="1"/>
  <c r="L13" i="1" s="1"/>
  <c r="D13" i="1"/>
  <c r="X12" i="1"/>
  <c r="L12" i="1" s="1"/>
  <c r="X11" i="1"/>
  <c r="D11" i="1"/>
  <c r="X10" i="1"/>
  <c r="X9" i="1"/>
  <c r="X8" i="1"/>
  <c r="L8" i="1" s="1"/>
  <c r="X7" i="1"/>
  <c r="D7" i="1"/>
  <c r="D6" i="1" s="1"/>
  <c r="Q25" i="1" a="1"/>
  <c r="Q38" i="1" a="1"/>
  <c r="Z33" i="1"/>
  <c r="Z18" i="1"/>
  <c r="Z38" i="1"/>
  <c r="Z37" i="1"/>
  <c r="Q15" i="1" a="1"/>
  <c r="Q17" i="1" a="1"/>
  <c r="Q37" i="1" a="1"/>
  <c r="Z24" i="1"/>
  <c r="Q10" i="1" a="1"/>
  <c r="Q19" i="1" a="1"/>
  <c r="Z35" i="1"/>
  <c r="Q22" i="1" a="1"/>
  <c r="Q13" i="1" a="1"/>
  <c r="Z16" i="1"/>
  <c r="Z23" i="1"/>
  <c r="Q8" i="1" a="1"/>
  <c r="Z39" i="1"/>
  <c r="Q21" i="1" a="1"/>
  <c r="Z30" i="1"/>
  <c r="Q32" i="1" a="1"/>
  <c r="Q36" i="1" a="1"/>
  <c r="Z17" i="1"/>
  <c r="Q30" i="1" a="1"/>
  <c r="Q11" i="1" a="1"/>
  <c r="Z14" i="1"/>
  <c r="Z22" i="1"/>
  <c r="Q20" i="1" a="1"/>
  <c r="Z25" i="1"/>
  <c r="Q28" i="1" a="1"/>
  <c r="Q7" i="1" a="1"/>
  <c r="Z10" i="1"/>
  <c r="Z9" i="1"/>
  <c r="Z20" i="1"/>
  <c r="Q18" i="1" a="1"/>
  <c r="Z29" i="1"/>
  <c r="Z36" i="1"/>
  <c r="Q34" i="1" a="1"/>
  <c r="Q39" i="1" a="1"/>
  <c r="Q14" i="1" a="1"/>
  <c r="Z13" i="1"/>
  <c r="Z26" i="1"/>
  <c r="Q24" i="1" a="1"/>
  <c r="Z31" i="1"/>
  <c r="Z7" i="1"/>
  <c r="Z32" i="1"/>
  <c r="Z11" i="1"/>
  <c r="Q27" i="1" a="1"/>
  <c r="Q35" i="1" a="1"/>
  <c r="Z8" i="1"/>
  <c r="Z19" i="1"/>
  <c r="Q16" i="1" a="1"/>
  <c r="Z15" i="1"/>
  <c r="Z28" i="1"/>
  <c r="Q31" i="1" a="1"/>
  <c r="Q26" i="1" a="1"/>
  <c r="Z34" i="1"/>
  <c r="Q33" i="1" a="1"/>
  <c r="Q12" i="1" a="1"/>
  <c r="Q23" i="1" a="1"/>
  <c r="Z27" i="1"/>
  <c r="Q29" i="1" a="1"/>
  <c r="Q9" i="1" a="1"/>
  <c r="Z12" i="1"/>
  <c r="Z21" i="1"/>
  <c r="K38" i="2" l="1"/>
  <c r="K25" i="2"/>
  <c r="K34" i="2"/>
  <c r="K30" i="2"/>
  <c r="H30" i="2" s="1"/>
  <c r="G30" i="2" s="1"/>
  <c r="K22" i="2"/>
  <c r="H22" i="2" s="1"/>
  <c r="G22" i="2" s="1"/>
  <c r="K37" i="2"/>
  <c r="K39" i="2"/>
  <c r="H39" i="2" s="1"/>
  <c r="G39" i="2" s="1"/>
  <c r="K32" i="2"/>
  <c r="H32" i="2" s="1"/>
  <c r="G32" i="2" s="1"/>
  <c r="K23" i="2"/>
  <c r="H23" i="2" s="1"/>
  <c r="G23" i="2" s="1"/>
  <c r="H24" i="2"/>
  <c r="G24" i="2" s="1"/>
  <c r="K41" i="2"/>
  <c r="H41" i="2" s="1"/>
  <c r="G41" i="2" s="1"/>
  <c r="K43" i="2"/>
  <c r="K26" i="2"/>
  <c r="H26" i="2" s="1"/>
  <c r="G26" i="2" s="1"/>
  <c r="K36" i="2"/>
  <c r="H36" i="2" s="1"/>
  <c r="G36" i="2" s="1"/>
  <c r="K29" i="2"/>
  <c r="H29" i="2" s="1"/>
  <c r="G29" i="2" s="1"/>
  <c r="G38" i="1" s="1"/>
  <c r="K45" i="2"/>
  <c r="H45" i="2" s="1"/>
  <c r="G45" i="2" s="1"/>
  <c r="K42" i="2"/>
  <c r="H42" i="2" s="1"/>
  <c r="G42" i="2" s="1"/>
  <c r="K27" i="2"/>
  <c r="H27" i="2" s="1"/>
  <c r="G27" i="2" s="1"/>
  <c r="G39" i="1" s="1"/>
  <c r="H40" i="2"/>
  <c r="G40" i="2" s="1"/>
  <c r="H48" i="2"/>
  <c r="G48" i="2" s="1"/>
  <c r="D9" i="1"/>
  <c r="C17" i="2"/>
  <c r="Q20" i="1"/>
  <c r="Q21" i="1"/>
  <c r="Q22" i="1"/>
  <c r="Q23" i="1"/>
  <c r="Q24" i="1"/>
  <c r="Q31" i="1"/>
  <c r="O36" i="1"/>
  <c r="O37" i="1"/>
  <c r="O38" i="1"/>
  <c r="O39" i="1"/>
  <c r="O35" i="1"/>
  <c r="O7" i="1"/>
  <c r="O26" i="1"/>
  <c r="O28" i="1"/>
  <c r="O29" i="1"/>
  <c r="O30" i="1"/>
  <c r="O32" i="1"/>
  <c r="O17" i="1"/>
  <c r="Q19" i="1"/>
  <c r="O33" i="1"/>
  <c r="O13" i="1"/>
  <c r="O15" i="1"/>
  <c r="Q18" i="1"/>
  <c r="O25" i="1"/>
  <c r="O27" i="1"/>
  <c r="Q8" i="1"/>
  <c r="Q10" i="1"/>
  <c r="Q12" i="1"/>
  <c r="Q14" i="1"/>
  <c r="Q16" i="1"/>
  <c r="O20" i="1"/>
  <c r="O21" i="1"/>
  <c r="O22" i="1"/>
  <c r="O23" i="1"/>
  <c r="O24" i="1"/>
  <c r="O31" i="1"/>
  <c r="O34" i="1"/>
  <c r="O19" i="1"/>
  <c r="O9" i="1"/>
  <c r="O11" i="1"/>
  <c r="O18" i="1"/>
  <c r="Q36" i="1"/>
  <c r="Q37" i="1"/>
  <c r="Q38" i="1"/>
  <c r="Q39" i="1"/>
  <c r="O8" i="1"/>
  <c r="O10" i="1"/>
  <c r="O12" i="1"/>
  <c r="O14" i="1"/>
  <c r="O16" i="1"/>
  <c r="Q17" i="1"/>
  <c r="Q33" i="1"/>
  <c r="Q34" i="1"/>
  <c r="Q35" i="1"/>
  <c r="Q7" i="1"/>
  <c r="Q9" i="1"/>
  <c r="Q11" i="1"/>
  <c r="Q13" i="1"/>
  <c r="Q15" i="1"/>
  <c r="Q25" i="1"/>
  <c r="Q26" i="1"/>
  <c r="Q27" i="1"/>
  <c r="Q28" i="1"/>
  <c r="Q29" i="1"/>
  <c r="Q30" i="1"/>
  <c r="Q32" i="1"/>
  <c r="AZ21" i="5"/>
  <c r="AR21" i="5"/>
  <c r="AJ21" i="5"/>
  <c r="AB21" i="5"/>
  <c r="R21" i="5"/>
  <c r="J21" i="5"/>
  <c r="B21" i="5"/>
  <c r="AX21" i="5"/>
  <c r="AP21" i="5"/>
  <c r="AH21" i="5"/>
  <c r="Z21" i="5"/>
  <c r="P21" i="5"/>
  <c r="H21" i="5"/>
  <c r="AV21" i="5"/>
  <c r="AN21" i="5"/>
  <c r="AF21" i="5"/>
  <c r="N21" i="5"/>
  <c r="F21" i="5"/>
  <c r="BB21" i="5"/>
  <c r="AT21" i="5"/>
  <c r="AL21" i="5"/>
  <c r="AD21" i="5"/>
  <c r="T21" i="5"/>
  <c r="L21" i="5"/>
  <c r="D21" i="5"/>
  <c r="BA21" i="5"/>
  <c r="AS21" i="5"/>
  <c r="AC21" i="5"/>
  <c r="BC7" i="4"/>
  <c r="AY12" i="4"/>
  <c r="Y4" i="5"/>
  <c r="AA10" i="5"/>
  <c r="Q21" i="5"/>
  <c r="AO21" i="5"/>
  <c r="AK21" i="5"/>
  <c r="AK15" i="4"/>
  <c r="K44" i="2" s="1"/>
  <c r="H44" i="2" s="1"/>
  <c r="G44" i="2" s="1"/>
  <c r="E19" i="5"/>
  <c r="E21" i="5" s="1"/>
  <c r="K21" i="5"/>
  <c r="AC15" i="5"/>
  <c r="Q13" i="4"/>
  <c r="BC13" i="4"/>
  <c r="AK15" i="5"/>
  <c r="D18" i="1"/>
  <c r="W14" i="4"/>
  <c r="AU14" i="4"/>
  <c r="AW16" i="4"/>
  <c r="AU4" i="5"/>
  <c r="W21" i="5"/>
  <c r="AQ21" i="5"/>
  <c r="C21" i="5"/>
  <c r="Y21" i="5"/>
  <c r="AU21" i="5"/>
  <c r="I7" i="5"/>
  <c r="K7" i="4"/>
  <c r="D8" i="1"/>
  <c r="D10" i="1"/>
  <c r="D12" i="1"/>
  <c r="D14" i="1"/>
  <c r="I14" i="4"/>
  <c r="AO15" i="4"/>
  <c r="K33" i="2" s="1"/>
  <c r="H33" i="2" s="1"/>
  <c r="G33" i="2" s="1"/>
  <c r="Q4" i="5"/>
  <c r="W12" i="5"/>
  <c r="G21" i="5"/>
  <c r="AA21" i="5"/>
  <c r="AW21" i="5"/>
  <c r="BA15" i="4"/>
  <c r="AG19" i="5"/>
  <c r="AG21" i="5" s="1"/>
  <c r="AY21" i="5"/>
  <c r="I21" i="5"/>
  <c r="S21" i="5"/>
  <c r="AK12" i="5"/>
  <c r="BC12" i="4"/>
  <c r="K13" i="4"/>
  <c r="S14" i="4"/>
  <c r="M21" i="5"/>
  <c r="AI21" i="5"/>
  <c r="BC21" i="5"/>
  <c r="AE21" i="5"/>
  <c r="AQ16" i="4"/>
  <c r="E8" i="5"/>
  <c r="O21" i="5"/>
  <c r="AM21" i="5"/>
  <c r="U21" i="5"/>
  <c r="H38" i="2" l="1"/>
  <c r="G38" i="2" s="1"/>
  <c r="K28" i="2"/>
  <c r="H28" i="2" s="1"/>
  <c r="G28" i="2" s="1"/>
  <c r="K47" i="2"/>
  <c r="H47" i="2" s="1"/>
  <c r="G47" i="2" s="1"/>
  <c r="K46" i="2"/>
  <c r="H46" i="2" s="1"/>
  <c r="G46" i="2" s="1"/>
  <c r="H34" i="2"/>
  <c r="G34" i="2" s="1"/>
  <c r="K31" i="2"/>
  <c r="H31" i="2" s="1"/>
  <c r="G31" i="2" s="1"/>
  <c r="H35" i="2"/>
  <c r="G35" i="2" s="1"/>
  <c r="H43" i="2"/>
  <c r="G43" i="2" s="1"/>
  <c r="H37" i="2"/>
  <c r="G37" i="2" s="1"/>
  <c r="Y32" i="1"/>
  <c r="L32" i="1" s="1"/>
  <c r="G31" i="1" s="1" a="1"/>
  <c r="G31" i="1" s="1"/>
  <c r="H25" i="2"/>
  <c r="G25" i="2" s="1"/>
  <c r="Y20" i="1" l="1"/>
  <c r="Y34" i="1"/>
  <c r="Y7" i="1"/>
  <c r="L7" i="1" s="1"/>
  <c r="Y28" i="1"/>
  <c r="L28" i="1" s="1"/>
  <c r="Y18" i="1"/>
  <c r="L18" i="1" s="1"/>
  <c r="Y27" i="1"/>
  <c r="L27" i="1" s="1"/>
  <c r="Y21" i="1"/>
  <c r="Y11" i="1"/>
  <c r="L11" i="1" s="1"/>
  <c r="Y13" i="1"/>
  <c r="Y19" i="1"/>
  <c r="Y10" i="1"/>
  <c r="L10" i="1" s="1"/>
  <c r="Y29" i="1"/>
  <c r="L29" i="1" s="1"/>
  <c r="Y30" i="1"/>
  <c r="L30" i="1" s="1"/>
  <c r="Y14" i="1"/>
  <c r="Y35" i="1"/>
  <c r="Y15" i="1"/>
  <c r="L15" i="1" s="1"/>
  <c r="Y9" i="1"/>
  <c r="L9" i="1" s="1"/>
  <c r="Y16" i="1"/>
  <c r="D11" i="2" a="1"/>
  <c r="D11" i="2" s="1"/>
  <c r="C13" i="1" s="1"/>
  <c r="F13" i="1" s="1"/>
  <c r="Y25" i="1"/>
  <c r="L25" i="1" s="1"/>
  <c r="Y26" i="1"/>
  <c r="L26" i="1" s="1"/>
  <c r="Y31" i="1"/>
  <c r="Y37" i="1"/>
  <c r="Y33" i="1"/>
  <c r="Y39" i="1"/>
  <c r="L39" i="1" s="1"/>
  <c r="G37" i="1" s="1"/>
  <c r="Y12" i="1"/>
  <c r="Y22" i="1"/>
  <c r="Y38" i="1"/>
  <c r="Y23" i="1"/>
  <c r="L23" i="1" s="1"/>
  <c r="Y24" i="1"/>
  <c r="L24" i="1" s="1"/>
  <c r="Y36" i="1"/>
  <c r="Y17" i="1"/>
  <c r="Y8" i="1"/>
  <c r="D10" i="2" a="1"/>
  <c r="D10" i="2" s="1"/>
  <c r="D13" i="2" a="1"/>
  <c r="D13" i="2" s="1"/>
  <c r="D12" i="2" a="1"/>
  <c r="D12" i="2" s="1"/>
  <c r="D16" i="2" a="1"/>
  <c r="D16" i="2" s="1"/>
  <c r="E16" i="2" s="1"/>
  <c r="D14" i="2" a="1"/>
  <c r="D14" i="2" s="1"/>
  <c r="E14" i="2" s="1"/>
  <c r="D5" i="2" a="1"/>
  <c r="D5" i="2" s="1"/>
  <c r="D4" i="2" a="1"/>
  <c r="D4" i="2" s="1"/>
  <c r="D7" i="2" a="1"/>
  <c r="D7" i="2" s="1"/>
  <c r="D6" i="2" a="1"/>
  <c r="D6" i="2" s="1"/>
  <c r="D9" i="2" a="1"/>
  <c r="D9" i="2" s="1"/>
  <c r="D15" i="2" a="1"/>
  <c r="D15" i="2" s="1"/>
  <c r="E15" i="2" s="1"/>
  <c r="D8" i="2" a="1"/>
  <c r="D8" i="2" s="1"/>
  <c r="E11" i="2" l="1"/>
  <c r="C9" i="1"/>
  <c r="F9" i="1" s="1"/>
  <c r="E5" i="2"/>
  <c r="E12" i="2"/>
  <c r="C16" i="1"/>
  <c r="F16" i="1" s="1"/>
  <c r="E13" i="2"/>
  <c r="C6" i="1"/>
  <c r="F6" i="1" s="1"/>
  <c r="C15" i="1"/>
  <c r="F15" i="1" s="1"/>
  <c r="E9" i="2"/>
  <c r="C14" i="1"/>
  <c r="F14" i="1" s="1"/>
  <c r="E10" i="2"/>
  <c r="C12" i="1"/>
  <c r="F12" i="1" s="1"/>
  <c r="E8" i="2"/>
  <c r="E6" i="2"/>
  <c r="C10" i="1"/>
  <c r="F10" i="1" s="1"/>
  <c r="C11" i="1"/>
  <c r="F11" i="1" s="1"/>
  <c r="E7" i="2"/>
  <c r="C8" i="1"/>
  <c r="F8" i="1" s="1"/>
  <c r="E4" i="2"/>
  <c r="F7" i="1" l="1"/>
  <c r="F17" i="1"/>
  <c r="G27" i="1" s="1"/>
  <c r="E17" i="2"/>
  <c r="F18" i="1" l="1"/>
  <c r="G34" i="1" s="1"/>
  <c r="G28" i="1"/>
  <c r="G35" i="1" s="1"/>
  <c r="G13" i="1" l="1"/>
  <c r="H13" i="1" s="1"/>
  <c r="G10" i="1"/>
  <c r="H10" i="1" s="1"/>
  <c r="G11" i="1"/>
  <c r="H11" i="1" s="1"/>
  <c r="G6" i="1"/>
  <c r="G15" i="1"/>
  <c r="H15" i="1" s="1"/>
  <c r="G12" i="1"/>
  <c r="H12" i="1" s="1"/>
  <c r="G9" i="1"/>
  <c r="H9" i="1" s="1"/>
  <c r="G8" i="1"/>
  <c r="G16" i="1"/>
  <c r="H16" i="1" s="1"/>
  <c r="G14" i="1"/>
  <c r="H14" i="1" s="1"/>
  <c r="H8" i="1" l="1"/>
  <c r="H17" i="1" s="1"/>
  <c r="G17" i="1"/>
  <c r="H6" i="1"/>
  <c r="H7" i="1" s="1"/>
  <c r="G7" i="1"/>
  <c r="G18" i="1" l="1"/>
  <c r="H18" i="1"/>
  <c r="G24" i="1"/>
  <c r="G26" i="1" l="1"/>
  <c r="G29" i="1" s="1"/>
  <c r="G30" i="1"/>
</calcChain>
</file>

<file path=xl/sharedStrings.xml><?xml version="1.0" encoding="utf-8"?>
<sst xmlns="http://schemas.openxmlformats.org/spreadsheetml/2006/main" count="586" uniqueCount="225">
  <si>
    <t>Scorecard</t>
  </si>
  <si>
    <t>Day in Life</t>
  </si>
  <si>
    <t>HoBL</t>
  </si>
  <si>
    <t>Battery Use</t>
  </si>
  <si>
    <t>Scenario Measurement Warnings</t>
  </si>
  <si>
    <t>Category</t>
  </si>
  <si>
    <t>Category Power</t>
  </si>
  <si>
    <t>"DiL" Time</t>
  </si>
  <si>
    <t>"System On"</t>
  </si>
  <si>
    <t>Weighted Power</t>
  </si>
  <si>
    <t>Battery Draw</t>
  </si>
  <si>
    <t>Energy Usage</t>
  </si>
  <si>
    <t>(W)</t>
  </si>
  <si>
    <t>(hrs)</t>
  </si>
  <si>
    <t>(%)</t>
  </si>
  <si>
    <t>(Whr)</t>
  </si>
  <si>
    <t>Standby</t>
  </si>
  <si>
    <t>HoBL/ABL Score</t>
  </si>
  <si>
    <t>Scenario</t>
  </si>
  <si>
    <t>Runs Missing</t>
  </si>
  <si>
    <t>Runs Required</t>
  </si>
  <si>
    <t>StDv</t>
  </si>
  <si>
    <t>Counts Required</t>
  </si>
  <si>
    <t>Data Valid</t>
  </si>
  <si>
    <t>Run Count</t>
  </si>
  <si>
    <t>Screen Off - Totals</t>
  </si>
  <si>
    <t>facebook_1s</t>
  </si>
  <si>
    <t>Social</t>
  </si>
  <si>
    <t>Web</t>
  </si>
  <si>
    <t>instagram_1s</t>
  </si>
  <si>
    <t>Productivity</t>
  </si>
  <si>
    <t>instagram_2s</t>
  </si>
  <si>
    <t>Communication</t>
  </si>
  <si>
    <t>edge_1s</t>
  </si>
  <si>
    <t>Gaming</t>
  </si>
  <si>
    <t>edge_facebook_2s</t>
  </si>
  <si>
    <t>Entertainment</t>
  </si>
  <si>
    <t>chrome_1s</t>
  </si>
  <si>
    <t>System</t>
  </si>
  <si>
    <t>local_video_1s</t>
  </si>
  <si>
    <t>Smartphone</t>
  </si>
  <si>
    <t>local_video_apm_1s</t>
  </si>
  <si>
    <t>spotify_0s</t>
  </si>
  <si>
    <t>Idle</t>
  </si>
  <si>
    <t>spotify_cell_0s</t>
  </si>
  <si>
    <t>Screen On - Totals</t>
  </si>
  <si>
    <t>local_audio_0s</t>
  </si>
  <si>
    <t>Totals</t>
  </si>
  <si>
    <t>youtube_1s</t>
  </si>
  <si>
    <t>Battery Minimum Charge Capacity (Wh)</t>
  </si>
  <si>
    <t>youtube_cell_1s</t>
  </si>
  <si>
    <t>Battery Typical Charge Capacity (Wh)</t>
  </si>
  <si>
    <t>video_capture_w_2s</t>
  </si>
  <si>
    <t>Battery Protection Cuts (Wh)</t>
  </si>
  <si>
    <t>video_capture_f_2s</t>
  </si>
  <si>
    <t>OS shutdown Reserve (Wh)</t>
  </si>
  <si>
    <t>photo_preview_f_2s</t>
  </si>
  <si>
    <t>Total Available Battery Capacity (Wh)</t>
  </si>
  <si>
    <t>teams_video_1s</t>
  </si>
  <si>
    <t>Standby Budget (Wh)</t>
  </si>
  <si>
    <t>minecraft_1s</t>
  </si>
  <si>
    <t>productivity_2s</t>
  </si>
  <si>
    <t>Available Active Battery Capacity (Wh)</t>
  </si>
  <si>
    <t>voice_0s</t>
  </si>
  <si>
    <t>Screen On burnrate (W)</t>
  </si>
  <si>
    <t>sms_1s</t>
  </si>
  <si>
    <t>Screen Off burnrate (W)</t>
  </si>
  <si>
    <t>maps_1s</t>
  </si>
  <si>
    <t>HOBL Active On (h)</t>
  </si>
  <si>
    <t>os_nav_2s</t>
  </si>
  <si>
    <t>HOBL Screen Off (h)</t>
  </si>
  <si>
    <t>sspnd_app_wifi_0s</t>
  </si>
  <si>
    <t>Estimated TenApps Carrier Standby (h)</t>
  </si>
  <si>
    <t>sspnd_idl_wifi_0s</t>
  </si>
  <si>
    <t>sspnd_app_cell_0s</t>
  </si>
  <si>
    <t>Talk Time (h)</t>
  </si>
  <si>
    <t>sspnd_idl_cell_0s</t>
  </si>
  <si>
    <t>HOBL Lab Prediction (h)</t>
  </si>
  <si>
    <t>sspnd_idl_apm_0s</t>
  </si>
  <si>
    <t>ABL Lab DAQ Measurement (h)</t>
  </si>
  <si>
    <t>idle_home_2s</t>
  </si>
  <si>
    <t>idle_home_cell_2s</t>
  </si>
  <si>
    <t>ABL Active On Lab DAQ Measurement (h)</t>
  </si>
  <si>
    <t>idle_home_apm_2s</t>
  </si>
  <si>
    <t>LAP (h)</t>
  </si>
  <si>
    <t>idle_home_1s</t>
  </si>
  <si>
    <t>LVP (h)</t>
  </si>
  <si>
    <t>abl_active_xs</t>
  </si>
  <si>
    <t>Mixed</t>
  </si>
  <si>
    <t>Nickname</t>
  </si>
  <si>
    <t>Study</t>
  </si>
  <si>
    <t>ABL Active On</t>
  </si>
  <si>
    <t>ABL Active On Target</t>
  </si>
  <si>
    <t>HOBL</t>
  </si>
  <si>
    <t>HOBL Target</t>
  </si>
  <si>
    <t>ABL Telemetry</t>
  </si>
  <si>
    <t>Standby Telemetry</t>
  </si>
  <si>
    <t>Input</t>
  </si>
  <si>
    <t>Calculated</t>
  </si>
  <si>
    <t>Categories</t>
  </si>
  <si>
    <t>Category Weight</t>
  </si>
  <si>
    <t>Usage Time (hrs)</t>
  </si>
  <si>
    <t>Category Power (W)</t>
  </si>
  <si>
    <t>HoBL Power (W)</t>
  </si>
  <si>
    <t>Shutdown</t>
  </si>
  <si>
    <t>Undefined</t>
  </si>
  <si>
    <t>Category'</t>
  </si>
  <si>
    <t>Scenario Duration (hrs)</t>
  </si>
  <si>
    <t>Scenario Weight</t>
  </si>
  <si>
    <t>Posture Weighted Power &amp; Adders (W)</t>
  </si>
  <si>
    <t>Adders (W)</t>
  </si>
  <si>
    <t>Manual Adder (W)</t>
  </si>
  <si>
    <t>Touch Adder (W)</t>
  </si>
  <si>
    <t>Scorecard (W)</t>
  </si>
  <si>
    <t>spotify_2s</t>
  </si>
  <si>
    <t>Sub-system</t>
  </si>
  <si>
    <t>Target</t>
  </si>
  <si>
    <t>Measured</t>
  </si>
  <si>
    <t>SoC (mW)</t>
  </si>
  <si>
    <t>Memory (mW)</t>
  </si>
  <si>
    <t>Display (mW)</t>
  </si>
  <si>
    <t>Audio (mW)</t>
  </si>
  <si>
    <t>Touch (mW)</t>
  </si>
  <si>
    <t>Storage (mW)</t>
  </si>
  <si>
    <t>Camera (mW)</t>
  </si>
  <si>
    <t>Cellular (mW)</t>
  </si>
  <si>
    <t>WiFiBT (mW)</t>
  </si>
  <si>
    <t>Sensors (mW)</t>
  </si>
  <si>
    <t>RoP (mW)</t>
  </si>
  <si>
    <t>Total Power (mW)</t>
  </si>
  <si>
    <t>Record Time (Min)</t>
  </si>
  <si>
    <t>Media</t>
  </si>
  <si>
    <t>Radio (mW)</t>
  </si>
  <si>
    <t>Fingerprint (mW)</t>
  </si>
  <si>
    <t>Haptics (mW)</t>
  </si>
  <si>
    <t>NFC (mW)</t>
  </si>
  <si>
    <t>WLC (mW)</t>
  </si>
  <si>
    <t>Life (hrs)</t>
  </si>
  <si>
    <t>Test Name</t>
  </si>
  <si>
    <t>Metric</t>
  </si>
  <si>
    <t>abl_act_xs</t>
  </si>
  <si>
    <t>abl_prod_2s</t>
  </si>
  <si>
    <t>edge_fb_2s</t>
  </si>
  <si>
    <t>photo_pre_2s</t>
  </si>
  <si>
    <t>Run Start Time</t>
  </si>
  <si>
    <t>Run Start Battery State (%)</t>
  </si>
  <si>
    <t>Run Start BPM Status</t>
  </si>
  <si>
    <t>Run Start Audio Volume (%)</t>
  </si>
  <si>
    <t>Run Start Screen Brightness (%)</t>
  </si>
  <si>
    <t>Run Start Charge State</t>
  </si>
  <si>
    <t>Run Start Charge Counter</t>
  </si>
  <si>
    <t>Run Start Battery Temp</t>
  </si>
  <si>
    <t>Run Stop Audio Volume (%)</t>
  </si>
  <si>
    <t>Run Stop Screen Brightness (%)</t>
  </si>
  <si>
    <t>Run Stop Charge State</t>
  </si>
  <si>
    <t>Run Stop Bluetooth State</t>
  </si>
  <si>
    <t>Run Stop Bluetooth Connection</t>
  </si>
  <si>
    <t>Run Stop WiFi State</t>
  </si>
  <si>
    <t>Run Stop WiFi Connection</t>
  </si>
  <si>
    <t>Run Stop BPM Status</t>
  </si>
  <si>
    <t>Run Stop Time</t>
  </si>
  <si>
    <t>Run Stop Battery State (%)</t>
  </si>
  <si>
    <t>Run Duration (min)</t>
  </si>
  <si>
    <t>Run Stop Charge Counter</t>
  </si>
  <si>
    <t>Run Stop Battery Temp</t>
  </si>
  <si>
    <t>Time on battery</t>
  </si>
  <si>
    <t>Time on battery screen off</t>
  </si>
  <si>
    <t>Screen on</t>
  </si>
  <si>
    <t>Screen off discharge</t>
  </si>
  <si>
    <t>Screen on discharge</t>
  </si>
  <si>
    <t>Cellular kernel active time</t>
  </si>
  <si>
    <t>Cellular Sleep time</t>
  </si>
  <si>
    <t>Cellular Idle time</t>
  </si>
  <si>
    <t>Cellular Rx time</t>
  </si>
  <si>
    <t>Cellular Tx time</t>
  </si>
  <si>
    <t>less than 0dBm</t>
  </si>
  <si>
    <t>0dBm to 8dBm</t>
  </si>
  <si>
    <t>8dBm to 15dBm</t>
  </si>
  <si>
    <t>15dBm to 20dBm</t>
  </si>
  <si>
    <t>above 20dBm</t>
  </si>
  <si>
    <t>Wifi kernel active time</t>
  </si>
  <si>
    <t>WiFi Scan time</t>
  </si>
  <si>
    <t>WiFi Sleep time</t>
  </si>
  <si>
    <t>WiFi Idle time</t>
  </si>
  <si>
    <t>WiFi Rx time</t>
  </si>
  <si>
    <t>WiFi Tx time</t>
  </si>
  <si>
    <t>Wifi data received</t>
  </si>
  <si>
    <t>Wifi data sent</t>
  </si>
  <si>
    <t>Bluetooth total received</t>
  </si>
  <si>
    <t>Bluetooth scan time</t>
  </si>
  <si>
    <t>Bluetooth Rx time</t>
  </si>
  <si>
    <t>Bluetooth Tx time</t>
  </si>
  <si>
    <t>PSR</t>
  </si>
  <si>
    <t>Display Off (Pwr Gated)</t>
  </si>
  <si>
    <t>System Power (mW)</t>
  </si>
  <si>
    <t>DisplayLight (mW)</t>
  </si>
  <si>
    <t>DisplayLogic (mW)</t>
  </si>
  <si>
    <t>Run WiFi State</t>
  </si>
  <si>
    <t>Run WiFi Connection</t>
  </si>
  <si>
    <t>Run Bluetooth State</t>
  </si>
  <si>
    <t>Run Bluetooth Connection</t>
  </si>
  <si>
    <t>Top Process 1</t>
  </si>
  <si>
    <t>Top Process 2</t>
  </si>
  <si>
    <t>Top Process 3</t>
  </si>
  <si>
    <t>Top Process 4</t>
  </si>
  <si>
    <t>Top Process 5</t>
  </si>
  <si>
    <t>Top Process 6</t>
  </si>
  <si>
    <t>Top Process 7</t>
  </si>
  <si>
    <t>Top Process 8</t>
  </si>
  <si>
    <t>Top Process 9</t>
  </si>
  <si>
    <t>Top Process 10</t>
  </si>
  <si>
    <t>NVM Other (%)</t>
  </si>
  <si>
    <t>PCI standard host CPU bridge L0 (%)</t>
  </si>
  <si>
    <t>PCI standard host CPU bridge L0s (%)</t>
  </si>
  <si>
    <t>PCI standard host CPU bridge L0s Tx (%)</t>
  </si>
  <si>
    <t>PCI standard host CPU bridge L0s Rx (%)</t>
  </si>
  <si>
    <t>PCI standard host CPU bridge L1 (%)</t>
  </si>
  <si>
    <t>PCI standard host CPU bridge L1.1 (%)</t>
  </si>
  <si>
    <t>PCI standard host CPU bridge L1.2 (%)</t>
  </si>
  <si>
    <t>PCI standard host CPU bridge L2 (%)</t>
  </si>
  <si>
    <t>PCI standard host CPU bridge L3 (%)</t>
  </si>
  <si>
    <t>PCI standard host CPU bridge Down (%)</t>
  </si>
  <si>
    <t>PCI standard host CPU bridge Retrain (%)</t>
  </si>
  <si>
    <t>PCI standard host CPU bridge Other (%)</t>
  </si>
  <si>
    <t>Display On (Not PSR)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</si>
</sst>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0"/>
    <numFmt numFmtId="165" formatCode="0.0"/>
    <numFmt numFmtId="166" formatCode="#,##0.0"/>
    <numFmt numFmtId="167" formatCode="0.0%"/>
    <numFmt numFmtId="168" formatCode="#,##0.000"/>
    <numFmt numFmtId="169" formatCode="0.0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C8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double">
        <color indexed="64"/>
      </bottom>
      <diagonal/>
    </border>
    <border>
      <left style="medium">
        <color theme="0"/>
      </left>
      <right style="medium">
        <color theme="0"/>
      </right>
      <top style="double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double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 style="double">
        <color auto="1"/>
      </top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double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9" fontId="1" fillId="0" borderId="0"/>
    <xf numFmtId="0" fontId="4" fillId="3" borderId="2"/>
    <xf numFmtId="0" fontId="5" fillId="4" borderId="2"/>
    <xf numFmtId="0" fontId="6" fillId="0" borderId="0"/>
    <xf numFmtId="0" fontId="6" fillId="0" borderId="0"/>
    <xf numFmtId="0" fontId="7" fillId="0" borderId="0"/>
    <xf numFmtId="0" fontId="1" fillId="0" borderId="0"/>
    <xf numFmtId="0" fontId="1" fillId="5" borderId="0"/>
    <xf numFmtId="0" fontId="7" fillId="0" borderId="0"/>
    <xf numFmtId="0" fontId="4" fillId="3" borderId="2"/>
    <xf numFmtId="9" fontId="1" fillId="0" borderId="0"/>
  </cellStyleXfs>
  <cellXfs count="23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64" fontId="3" fillId="11" borderId="10" xfId="0" applyNumberFormat="1" applyFont="1" applyFill="1" applyBorder="1"/>
    <xf numFmtId="164" fontId="3" fillId="11" borderId="7" xfId="0" applyNumberFormat="1" applyFont="1" applyFill="1" applyBorder="1"/>
    <xf numFmtId="164" fontId="3" fillId="12" borderId="7" xfId="0" applyNumberFormat="1" applyFont="1" applyFill="1" applyBorder="1"/>
    <xf numFmtId="0" fontId="0" fillId="0" borderId="0" xfId="0" applyAlignment="1">
      <alignment horizontal="center"/>
    </xf>
    <xf numFmtId="166" fontId="0" fillId="0" borderId="0" xfId="0" applyNumberFormat="1"/>
    <xf numFmtId="0" fontId="1" fillId="0" borderId="0" xfId="0" applyFont="1"/>
    <xf numFmtId="0" fontId="3" fillId="11" borderId="12" xfId="0" applyFont="1" applyFill="1" applyBorder="1"/>
    <xf numFmtId="166" fontId="3" fillId="11" borderId="14" xfId="0" applyNumberFormat="1" applyFont="1" applyFill="1" applyBorder="1"/>
    <xf numFmtId="0" fontId="0" fillId="0" borderId="0" xfId="0" applyAlignment="1">
      <alignment vertical="center" wrapText="1"/>
    </xf>
    <xf numFmtId="0" fontId="0" fillId="0" borderId="19" xfId="0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3" xfId="0" applyFill="1" applyBorder="1" applyAlignment="1">
      <alignment horizontal="center" wrapText="1"/>
    </xf>
    <xf numFmtId="0" fontId="0" fillId="16" borderId="4" xfId="0" applyFill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165" fontId="0" fillId="0" borderId="0" xfId="0" applyNumberForma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7" fillId="0" borderId="0" xfId="6"/>
    <xf numFmtId="0" fontId="8" fillId="0" borderId="0" xfId="0" applyFont="1"/>
    <xf numFmtId="0" fontId="8" fillId="0" borderId="0" xfId="0" applyFont="1" applyAlignment="1">
      <alignment horizontal="center"/>
    </xf>
    <xf numFmtId="0" fontId="8" fillId="17" borderId="20" xfId="0" applyFont="1" applyFill="1" applyBorder="1" applyAlignment="1">
      <alignment vertical="center" wrapText="1"/>
    </xf>
    <xf numFmtId="165" fontId="8" fillId="0" borderId="0" xfId="0" applyNumberFormat="1" applyFont="1"/>
    <xf numFmtId="0" fontId="9" fillId="9" borderId="22" xfId="0" applyFont="1" applyFill="1" applyBorder="1" applyAlignment="1">
      <alignment horizontal="right" vertical="center" wrapText="1" indent="1"/>
    </xf>
    <xf numFmtId="2" fontId="8" fillId="9" borderId="23" xfId="0" applyNumberFormat="1" applyFont="1" applyFill="1" applyBorder="1" applyAlignment="1">
      <alignment horizontal="center"/>
    </xf>
    <xf numFmtId="0" fontId="10" fillId="9" borderId="24" xfId="0" applyFont="1" applyFill="1" applyBorder="1" applyAlignment="1">
      <alignment horizontal="center"/>
    </xf>
    <xf numFmtId="0" fontId="10" fillId="9" borderId="16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2" fontId="10" fillId="8" borderId="16" xfId="0" applyNumberFormat="1" applyFont="1" applyFill="1" applyBorder="1" applyAlignment="1">
      <alignment horizontal="center"/>
    </xf>
    <xf numFmtId="2" fontId="8" fillId="8" borderId="4" xfId="0" applyNumberFormat="1" applyFont="1" applyFill="1" applyBorder="1" applyAlignment="1">
      <alignment horizontal="center"/>
    </xf>
    <xf numFmtId="0" fontId="9" fillId="9" borderId="25" xfId="0" applyFont="1" applyFill="1" applyBorder="1" applyAlignment="1">
      <alignment vertical="center" wrapText="1"/>
    </xf>
    <xf numFmtId="2" fontId="8" fillId="9" borderId="26" xfId="0" applyNumberFormat="1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9" borderId="18" xfId="0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2" fontId="10" fillId="8" borderId="18" xfId="0" applyNumberFormat="1" applyFont="1" applyFill="1" applyBorder="1" applyAlignment="1">
      <alignment horizontal="center"/>
    </xf>
    <xf numFmtId="2" fontId="8" fillId="8" borderId="15" xfId="0" applyNumberFormat="1" applyFont="1" applyFill="1" applyBorder="1" applyAlignment="1">
      <alignment horizontal="center"/>
    </xf>
    <xf numFmtId="164" fontId="8" fillId="14" borderId="1" xfId="0" applyNumberFormat="1" applyFont="1" applyFill="1" applyBorder="1" applyAlignment="1">
      <alignment horizontal="center"/>
    </xf>
    <xf numFmtId="0" fontId="8" fillId="11" borderId="1" xfId="0" applyFont="1" applyFill="1" applyBorder="1" applyAlignment="1">
      <alignment horizontal="right" vertical="center" wrapText="1"/>
    </xf>
    <xf numFmtId="2" fontId="8" fillId="14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0" fontId="3" fillId="0" borderId="0" xfId="0" applyFont="1"/>
    <xf numFmtId="0" fontId="4" fillId="3" borderId="2" xfId="2"/>
    <xf numFmtId="0" fontId="5" fillId="4" borderId="2" xfId="3"/>
    <xf numFmtId="9" fontId="1" fillId="0" borderId="0" xfId="7" applyNumberForma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vertical="center"/>
    </xf>
    <xf numFmtId="9" fontId="0" fillId="0" borderId="0" xfId="7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7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4" fontId="3" fillId="11" borderId="14" xfId="0" applyNumberFormat="1" applyFont="1" applyFill="1" applyBorder="1"/>
    <xf numFmtId="166" fontId="15" fillId="0" borderId="14" xfId="8" applyNumberFormat="1" applyFont="1" applyFill="1" applyBorder="1" applyAlignment="1">
      <alignment horizontal="center"/>
    </xf>
    <xf numFmtId="166" fontId="1" fillId="0" borderId="14" xfId="8" applyNumberFormat="1" applyFill="1" applyBorder="1" applyAlignment="1">
      <alignment horizontal="center"/>
    </xf>
    <xf numFmtId="0" fontId="7" fillId="0" borderId="0" xfId="6" applyAlignment="1">
      <alignment vertical="top"/>
    </xf>
    <xf numFmtId="168" fontId="0" fillId="0" borderId="0" xfId="0" applyNumberFormat="1"/>
    <xf numFmtId="0" fontId="1" fillId="0" borderId="5" xfId="0" applyFont="1" applyBorder="1" applyAlignment="1">
      <alignment horizontal="left" vertical="center"/>
    </xf>
    <xf numFmtId="164" fontId="1" fillId="0" borderId="0" xfId="0" applyNumberFormat="1" applyFont="1"/>
    <xf numFmtId="0" fontId="3" fillId="0" borderId="0" xfId="0" applyFont="1" applyAlignment="1">
      <alignment horizontal="left"/>
    </xf>
    <xf numFmtId="9" fontId="1" fillId="0" borderId="0" xfId="7" applyNumberFormat="1" applyAlignment="1">
      <alignment horizontal="left"/>
    </xf>
    <xf numFmtId="167" fontId="1" fillId="0" borderId="0" xfId="1" applyNumberFormat="1" applyAlignment="1">
      <alignment horizontal="center"/>
    </xf>
    <xf numFmtId="2" fontId="1" fillId="0" borderId="0" xfId="7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2" fillId="1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7" applyNumberFormat="1" applyFont="1" applyAlignment="1">
      <alignment horizontal="left" vertical="center"/>
    </xf>
    <xf numFmtId="164" fontId="1" fillId="0" borderId="28" xfId="0" applyNumberFormat="1" applyFont="1" applyBorder="1" applyAlignment="1">
      <alignment horizontal="center" vertical="center"/>
    </xf>
    <xf numFmtId="9" fontId="1" fillId="0" borderId="0" xfId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8" fillId="14" borderId="1" xfId="0" applyNumberFormat="1" applyFont="1" applyFill="1" applyBorder="1" applyAlignment="1">
      <alignment horizontal="center"/>
    </xf>
    <xf numFmtId="164" fontId="8" fillId="0" borderId="0" xfId="0" applyNumberFormat="1" applyFont="1"/>
    <xf numFmtId="0" fontId="0" fillId="19" borderId="0" xfId="0" applyFill="1"/>
    <xf numFmtId="0" fontId="0" fillId="0" borderId="0" xfId="0" quotePrefix="1"/>
    <xf numFmtId="1" fontId="0" fillId="0" borderId="0" xfId="0" applyNumberFormat="1"/>
    <xf numFmtId="165" fontId="0" fillId="19" borderId="0" xfId="0" applyNumberFormat="1" applyFill="1"/>
    <xf numFmtId="1" fontId="0" fillId="19" borderId="0" xfId="0" applyNumberFormat="1" applyFill="1"/>
    <xf numFmtId="0" fontId="16" fillId="19" borderId="0" xfId="0" applyFont="1" applyFill="1" applyAlignment="1">
      <alignment vertical="center"/>
    </xf>
    <xf numFmtId="1" fontId="0" fillId="12" borderId="7" xfId="8" applyNumberFormat="1" applyFont="1" applyFill="1" applyBorder="1" applyAlignment="1">
      <alignment horizontal="center" vertical="center" wrapText="1"/>
    </xf>
    <xf numFmtId="1" fontId="1" fillId="5" borderId="10" xfId="8" applyNumberFormat="1" applyBorder="1" applyAlignment="1">
      <alignment horizontal="center"/>
    </xf>
    <xf numFmtId="1" fontId="1" fillId="11" borderId="10" xfId="8" applyNumberFormat="1" applyFill="1" applyBorder="1" applyAlignment="1">
      <alignment horizontal="center"/>
    </xf>
    <xf numFmtId="1" fontId="1" fillId="5" borderId="13" xfId="8" applyNumberFormat="1" applyBorder="1" applyAlignment="1">
      <alignment horizontal="center"/>
    </xf>
    <xf numFmtId="1" fontId="1" fillId="11" borderId="13" xfId="8" applyNumberFormat="1" applyFill="1" applyBorder="1" applyAlignment="1">
      <alignment horizontal="center"/>
    </xf>
    <xf numFmtId="166" fontId="1" fillId="5" borderId="14" xfId="8" applyNumberFormat="1" applyBorder="1" applyAlignment="1">
      <alignment horizontal="center"/>
    </xf>
    <xf numFmtId="166" fontId="1" fillId="11" borderId="14" xfId="8" applyNumberFormat="1" applyFill="1" applyBorder="1" applyAlignment="1">
      <alignment horizontal="center"/>
    </xf>
    <xf numFmtId="0" fontId="5" fillId="4" borderId="29" xfId="3" applyBorder="1"/>
    <xf numFmtId="0" fontId="0" fillId="18" borderId="30" xfId="0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9" fontId="0" fillId="0" borderId="0" xfId="0" applyNumberFormat="1"/>
    <xf numFmtId="2" fontId="0" fillId="0" borderId="0" xfId="0" applyNumberFormat="1"/>
    <xf numFmtId="1" fontId="18" fillId="18" borderId="10" xfId="8" applyNumberFormat="1" applyFont="1" applyFill="1" applyBorder="1" applyAlignment="1">
      <alignment horizontal="center"/>
    </xf>
    <xf numFmtId="1" fontId="18" fillId="5" borderId="10" xfId="8" applyNumberFormat="1" applyFont="1" applyBorder="1" applyAlignment="1">
      <alignment horizontal="center"/>
    </xf>
    <xf numFmtId="1" fontId="18" fillId="5" borderId="13" xfId="8" applyNumberFormat="1" applyFont="1" applyBorder="1" applyAlignment="1">
      <alignment horizontal="center"/>
    </xf>
    <xf numFmtId="166" fontId="18" fillId="5" borderId="14" xfId="8" applyNumberFormat="1" applyFont="1" applyBorder="1" applyAlignment="1">
      <alignment horizontal="center"/>
    </xf>
    <xf numFmtId="1" fontId="18" fillId="11" borderId="10" xfId="8" applyNumberFormat="1" applyFont="1" applyFill="1" applyBorder="1" applyAlignment="1">
      <alignment horizontal="center"/>
    </xf>
    <xf numFmtId="1" fontId="18" fillId="11" borderId="13" xfId="8" applyNumberFormat="1" applyFont="1" applyFill="1" applyBorder="1" applyAlignment="1">
      <alignment horizontal="center"/>
    </xf>
    <xf numFmtId="166" fontId="18" fillId="11" borderId="14" xfId="8" applyNumberFormat="1" applyFont="1" applyFill="1" applyBorder="1" applyAlignment="1">
      <alignment horizontal="center"/>
    </xf>
    <xf numFmtId="1" fontId="0" fillId="12" borderId="8" xfId="8" applyNumberFormat="1" applyFont="1" applyFill="1" applyBorder="1" applyAlignment="1">
      <alignment horizontal="center" vertical="center" wrapText="1"/>
    </xf>
    <xf numFmtId="1" fontId="1" fillId="5" borderId="31" xfId="8" applyNumberFormat="1" applyBorder="1" applyAlignment="1">
      <alignment horizontal="center"/>
    </xf>
    <xf numFmtId="1" fontId="1" fillId="5" borderId="32" xfId="8" applyNumberFormat="1" applyBorder="1" applyAlignment="1">
      <alignment horizontal="center"/>
    </xf>
    <xf numFmtId="166" fontId="1" fillId="5" borderId="33" xfId="8" applyNumberFormat="1" applyBorder="1" applyAlignment="1">
      <alignment horizontal="center"/>
    </xf>
    <xf numFmtId="166" fontId="1" fillId="0" borderId="33" xfId="8" applyNumberFormat="1" applyFill="1" applyBorder="1" applyAlignment="1">
      <alignment horizontal="center"/>
    </xf>
    <xf numFmtId="1" fontId="18" fillId="0" borderId="0" xfId="8" applyNumberFormat="1" applyFont="1" applyFill="1" applyAlignment="1">
      <alignment horizontal="center"/>
    </xf>
    <xf numFmtId="1" fontId="1" fillId="0" borderId="0" xfId="8" applyNumberFormat="1" applyFill="1" applyAlignment="1">
      <alignment horizontal="center"/>
    </xf>
    <xf numFmtId="166" fontId="18" fillId="0" borderId="0" xfId="8" applyNumberFormat="1" applyFont="1" applyFill="1" applyAlignment="1">
      <alignment horizontal="center"/>
    </xf>
    <xf numFmtId="166" fontId="1" fillId="0" borderId="0" xfId="8" applyNumberFormat="1" applyFill="1" applyAlignment="1">
      <alignment horizontal="center"/>
    </xf>
    <xf numFmtId="0" fontId="19" fillId="0" borderId="0" xfId="9" applyFont="1"/>
    <xf numFmtId="0" fontId="7" fillId="0" borderId="0" xfId="9" applyAlignment="1">
      <alignment wrapText="1"/>
    </xf>
    <xf numFmtId="0" fontId="7" fillId="0" borderId="0" xfId="9"/>
    <xf numFmtId="0" fontId="4" fillId="3" borderId="2" xfId="10" applyAlignment="1">
      <alignment horizontal="right" vertical="center" wrapText="1" indent="1"/>
    </xf>
    <xf numFmtId="2" fontId="10" fillId="14" borderId="1" xfId="11" applyNumberFormat="1" applyFont="1" applyFill="1" applyBorder="1" applyAlignment="1">
      <alignment horizontal="center"/>
    </xf>
    <xf numFmtId="167" fontId="8" fillId="14" borderId="1" xfId="11" applyNumberFormat="1" applyFont="1" applyFill="1" applyBorder="1" applyAlignment="1">
      <alignment horizontal="center"/>
    </xf>
    <xf numFmtId="167" fontId="10" fillId="14" borderId="1" xfId="11" applyNumberFormat="1" applyFont="1" applyFill="1" applyBorder="1" applyAlignment="1">
      <alignment horizontal="center"/>
    </xf>
    <xf numFmtId="2" fontId="8" fillId="14" borderId="1" xfId="11" applyNumberFormat="1" applyFont="1" applyFill="1" applyBorder="1" applyAlignment="1">
      <alignment horizontal="center"/>
    </xf>
    <xf numFmtId="169" fontId="8" fillId="11" borderId="1" xfId="11" applyNumberFormat="1" applyFont="1" applyFill="1" applyBorder="1" applyAlignment="1">
      <alignment horizontal="center"/>
    </xf>
    <xf numFmtId="165" fontId="8" fillId="11" borderId="1" xfId="11" applyNumberFormat="1" applyFont="1" applyFill="1" applyBorder="1" applyAlignment="1">
      <alignment horizontal="center"/>
    </xf>
    <xf numFmtId="9" fontId="8" fillId="11" borderId="1" xfId="11" applyFont="1" applyFill="1" applyBorder="1" applyAlignment="1">
      <alignment horizontal="center"/>
    </xf>
    <xf numFmtId="164" fontId="8" fillId="11" borderId="1" xfId="11" applyNumberFormat="1" applyFont="1" applyFill="1" applyBorder="1" applyAlignment="1">
      <alignment horizontal="center"/>
    </xf>
    <xf numFmtId="2" fontId="8" fillId="11" borderId="1" xfId="11" applyNumberFormat="1" applyFont="1" applyFill="1" applyBorder="1" applyAlignment="1">
      <alignment horizontal="center"/>
    </xf>
    <xf numFmtId="0" fontId="0" fillId="20" borderId="0" xfId="0" applyFill="1"/>
    <xf numFmtId="165" fontId="0" fillId="7" borderId="0" xfId="0" applyNumberFormat="1" applyFill="1"/>
    <xf numFmtId="0" fontId="0" fillId="7" borderId="0" xfId="0" applyFill="1"/>
    <xf numFmtId="164" fontId="21" fillId="7" borderId="1" xfId="0" applyNumberFormat="1" applyFont="1" applyFill="1" applyBorder="1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2" fontId="12" fillId="7" borderId="34" xfId="0" applyNumberFormat="1" applyFont="1" applyFill="1" applyBorder="1" applyAlignment="1">
      <alignment vertical="center"/>
    </xf>
    <xf numFmtId="2" fontId="13" fillId="7" borderId="34" xfId="0" applyNumberFormat="1" applyFont="1" applyFill="1" applyBorder="1" applyAlignment="1">
      <alignment vertical="center"/>
    </xf>
    <xf numFmtId="2" fontId="14" fillId="2" borderId="39" xfId="0" applyNumberFormat="1" applyFont="1" applyFill="1" applyBorder="1" applyAlignment="1">
      <alignment vertical="center"/>
    </xf>
    <xf numFmtId="165" fontId="20" fillId="10" borderId="40" xfId="0" applyNumberFormat="1" applyFont="1" applyFill="1" applyBorder="1" applyAlignment="1">
      <alignment horizontal="center" vertical="center"/>
    </xf>
    <xf numFmtId="2" fontId="17" fillId="10" borderId="39" xfId="0" applyNumberFormat="1" applyFont="1" applyFill="1" applyBorder="1" applyAlignment="1">
      <alignment vertical="center"/>
    </xf>
    <xf numFmtId="165" fontId="20" fillId="10" borderId="1" xfId="0" applyNumberFormat="1" applyFont="1" applyFill="1" applyBorder="1" applyAlignment="1">
      <alignment horizontal="center" vertical="center"/>
    </xf>
    <xf numFmtId="2" fontId="14" fillId="10" borderId="34" xfId="0" applyNumberFormat="1" applyFont="1" applyFill="1" applyBorder="1" applyAlignment="1">
      <alignment vertical="center"/>
    </xf>
    <xf numFmtId="165" fontId="20" fillId="10" borderId="1" xfId="0" quotePrefix="1" applyNumberFormat="1" applyFont="1" applyFill="1" applyBorder="1" applyAlignment="1">
      <alignment horizontal="center" vertical="center"/>
    </xf>
    <xf numFmtId="2" fontId="17" fillId="10" borderId="34" xfId="0" applyNumberFormat="1" applyFont="1" applyFill="1" applyBorder="1" applyAlignment="1">
      <alignment vertical="center"/>
    </xf>
    <xf numFmtId="9" fontId="20" fillId="10" borderId="1" xfId="0" applyNumberFormat="1" applyFont="1" applyFill="1" applyBorder="1" applyAlignment="1">
      <alignment horizontal="center" vertical="center"/>
    </xf>
    <xf numFmtId="165" fontId="20" fillId="10" borderId="37" xfId="0" applyNumberFormat="1" applyFont="1" applyFill="1" applyBorder="1" applyAlignment="1">
      <alignment horizontal="center" vertical="center"/>
    </xf>
    <xf numFmtId="2" fontId="17" fillId="10" borderId="38" xfId="0" applyNumberFormat="1" applyFont="1" applyFill="1" applyBorder="1" applyAlignment="1">
      <alignment vertical="center"/>
    </xf>
    <xf numFmtId="164" fontId="3" fillId="12" borderId="8" xfId="0" applyNumberFormat="1" applyFont="1" applyFill="1" applyBorder="1"/>
    <xf numFmtId="1" fontId="0" fillId="12" borderId="9" xfId="8" applyNumberFormat="1" applyFont="1" applyFill="1" applyBorder="1" applyAlignment="1">
      <alignment horizontal="center" vertical="center" wrapText="1"/>
    </xf>
    <xf numFmtId="1" fontId="0" fillId="12" borderId="42" xfId="8" applyNumberFormat="1" applyFont="1" applyFill="1" applyBorder="1" applyAlignment="1">
      <alignment horizontal="center" vertical="center" wrapText="1"/>
    </xf>
    <xf numFmtId="1" fontId="0" fillId="12" borderId="43" xfId="8" applyNumberFormat="1" applyFont="1" applyFill="1" applyBorder="1" applyAlignment="1">
      <alignment horizontal="center" vertical="center" wrapText="1"/>
    </xf>
    <xf numFmtId="1" fontId="1" fillId="18" borderId="10" xfId="8" applyNumberFormat="1" applyFill="1" applyBorder="1" applyAlignment="1">
      <alignment horizontal="center"/>
    </xf>
    <xf numFmtId="1" fontId="1" fillId="11" borderId="31" xfId="8" applyNumberForma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left"/>
    </xf>
    <xf numFmtId="164" fontId="0" fillId="19" borderId="0" xfId="0" applyNumberFormat="1" applyFill="1" applyAlignment="1">
      <alignment horizontal="left"/>
    </xf>
    <xf numFmtId="1" fontId="0" fillId="19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11" fillId="13" borderId="35" xfId="0" applyNumberFormat="1" applyFont="1" applyFill="1" applyBorder="1" applyAlignment="1">
      <alignment horizontal="center"/>
    </xf>
    <xf numFmtId="1" fontId="11" fillId="13" borderId="35" xfId="0" applyNumberFormat="1" applyFont="1" applyFill="1" applyBorder="1" applyAlignment="1">
      <alignment horizontal="center"/>
    </xf>
    <xf numFmtId="167" fontId="11" fillId="13" borderId="35" xfId="0" applyNumberFormat="1" applyFont="1" applyFill="1" applyBorder="1" applyAlignment="1">
      <alignment horizontal="center"/>
    </xf>
    <xf numFmtId="10" fontId="11" fillId="13" borderId="35" xfId="0" applyNumberFormat="1" applyFont="1" applyFill="1" applyBorder="1" applyAlignment="1">
      <alignment horizontal="center"/>
    </xf>
    <xf numFmtId="164" fontId="22" fillId="2" borderId="40" xfId="0" applyNumberFormat="1" applyFont="1" applyFill="1" applyBorder="1" applyAlignment="1">
      <alignment horizontal="center" vertical="center"/>
    </xf>
    <xf numFmtId="165" fontId="20" fillId="21" borderId="1" xfId="0" applyNumberFormat="1" applyFont="1" applyFill="1" applyBorder="1" applyAlignment="1">
      <alignment horizontal="center" vertical="center"/>
    </xf>
    <xf numFmtId="165" fontId="20" fillId="21" borderId="40" xfId="0" applyNumberFormat="1" applyFont="1" applyFill="1" applyBorder="1" applyAlignment="1">
      <alignment horizontal="center" vertical="center"/>
    </xf>
    <xf numFmtId="2" fontId="12" fillId="7" borderId="39" xfId="0" applyNumberFormat="1" applyFont="1" applyFill="1" applyBorder="1" applyAlignment="1">
      <alignment vertical="center"/>
    </xf>
    <xf numFmtId="164" fontId="21" fillId="7" borderId="0" xfId="0" applyNumberFormat="1" applyFont="1" applyFill="1" applyAlignment="1">
      <alignment horizontal="center" vertical="center"/>
    </xf>
    <xf numFmtId="9" fontId="20" fillId="21" borderId="34" xfId="0" applyNumberFormat="1" applyFont="1" applyFill="1" applyBorder="1" applyAlignment="1">
      <alignment horizontal="center" vertical="center"/>
    </xf>
    <xf numFmtId="2" fontId="13" fillId="7" borderId="6" xfId="0" applyNumberFormat="1" applyFont="1" applyFill="1" applyBorder="1" applyAlignment="1">
      <alignment vertical="center"/>
    </xf>
    <xf numFmtId="2" fontId="20" fillId="7" borderId="35" xfId="0" applyNumberFormat="1" applyFont="1" applyFill="1" applyBorder="1" applyAlignment="1">
      <alignment horizontal="center" vertical="center"/>
    </xf>
    <xf numFmtId="2" fontId="12" fillId="7" borderId="36" xfId="0" applyNumberFormat="1" applyFont="1" applyFill="1" applyBorder="1" applyAlignment="1">
      <alignment vertical="center"/>
    </xf>
    <xf numFmtId="164" fontId="22" fillId="2" borderId="37" xfId="0" applyNumberFormat="1" applyFont="1" applyFill="1" applyBorder="1" applyAlignment="1">
      <alignment horizontal="center" vertical="center"/>
    </xf>
    <xf numFmtId="2" fontId="14" fillId="2" borderId="38" xfId="0" applyNumberFormat="1" applyFont="1" applyFill="1" applyBorder="1" applyAlignment="1">
      <alignment vertical="center"/>
    </xf>
    <xf numFmtId="1" fontId="18" fillId="5" borderId="46" xfId="8" applyNumberFormat="1" applyFont="1" applyBorder="1" applyAlignment="1">
      <alignment horizontal="center"/>
    </xf>
    <xf numFmtId="1" fontId="1" fillId="5" borderId="46" xfId="8" applyNumberFormat="1" applyBorder="1" applyAlignment="1">
      <alignment horizontal="center"/>
    </xf>
    <xf numFmtId="1" fontId="18" fillId="11" borderId="46" xfId="8" applyNumberFormat="1" applyFont="1" applyFill="1" applyBorder="1" applyAlignment="1">
      <alignment horizontal="center"/>
    </xf>
    <xf numFmtId="1" fontId="1" fillId="11" borderId="46" xfId="8" applyNumberFormat="1" applyFill="1" applyBorder="1" applyAlignment="1">
      <alignment horizontal="center"/>
    </xf>
    <xf numFmtId="1" fontId="18" fillId="18" borderId="46" xfId="8" applyNumberFormat="1" applyFont="1" applyFill="1" applyBorder="1" applyAlignment="1">
      <alignment horizontal="center"/>
    </xf>
    <xf numFmtId="1" fontId="1" fillId="18" borderId="46" xfId="8" applyNumberFormat="1" applyFill="1" applyBorder="1" applyAlignment="1">
      <alignment horizontal="center"/>
    </xf>
    <xf numFmtId="166" fontId="18" fillId="5" borderId="47" xfId="8" applyNumberFormat="1" applyFont="1" applyBorder="1" applyAlignment="1">
      <alignment horizontal="center"/>
    </xf>
    <xf numFmtId="166" fontId="1" fillId="5" borderId="47" xfId="8" applyNumberFormat="1" applyBorder="1" applyAlignment="1">
      <alignment horizontal="center"/>
    </xf>
    <xf numFmtId="166" fontId="18" fillId="11" borderId="47" xfId="8" applyNumberFormat="1" applyFont="1" applyFill="1" applyBorder="1" applyAlignment="1">
      <alignment horizontal="center"/>
    </xf>
    <xf numFmtId="166" fontId="1" fillId="11" borderId="47" xfId="8" applyNumberFormat="1" applyFill="1" applyBorder="1" applyAlignment="1">
      <alignment horizontal="center"/>
    </xf>
    <xf numFmtId="166" fontId="18" fillId="18" borderId="47" xfId="8" applyNumberFormat="1" applyFont="1" applyFill="1" applyBorder="1" applyAlignment="1">
      <alignment horizontal="center"/>
    </xf>
    <xf numFmtId="166" fontId="1" fillId="18" borderId="47" xfId="8" applyNumberFormat="1" applyFill="1" applyBorder="1" applyAlignment="1">
      <alignment horizontal="center"/>
    </xf>
    <xf numFmtId="0" fontId="20" fillId="2" borderId="27" xfId="0" applyFont="1" applyFill="1" applyBorder="1" applyAlignment="1">
      <alignment horizontal="right" vertical="center" wrapText="1"/>
    </xf>
    <xf numFmtId="0" fontId="0" fillId="0" borderId="19" xfId="0" applyBorder="1"/>
    <xf numFmtId="0" fontId="0" fillId="0" borderId="15" xfId="0" applyBorder="1"/>
    <xf numFmtId="0" fontId="8" fillId="6" borderId="24" xfId="0" applyFont="1" applyFill="1" applyBorder="1" applyAlignment="1">
      <alignment horizontal="center" vertical="center" wrapText="1"/>
    </xf>
    <xf numFmtId="0" fontId="0" fillId="0" borderId="4" xfId="0" applyBorder="1"/>
    <xf numFmtId="0" fontId="8" fillId="2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20" fillId="7" borderId="30" xfId="0" applyFont="1" applyFill="1" applyBorder="1" applyAlignment="1">
      <alignment horizontal="right" vertical="center" wrapText="1"/>
    </xf>
    <xf numFmtId="0" fontId="0" fillId="0" borderId="0" xfId="0"/>
    <xf numFmtId="0" fontId="0" fillId="0" borderId="6" xfId="0" applyBorder="1"/>
    <xf numFmtId="0" fontId="20" fillId="2" borderId="24" xfId="0" applyFont="1" applyFill="1" applyBorder="1" applyAlignment="1">
      <alignment horizontal="right" vertical="center" wrapText="1"/>
    </xf>
    <xf numFmtId="0" fontId="0" fillId="0" borderId="3" xfId="0" applyBorder="1"/>
    <xf numFmtId="0" fontId="20" fillId="7" borderId="16" xfId="0" applyFont="1" applyFill="1" applyBorder="1" applyAlignment="1">
      <alignment horizontal="right" vertical="center" wrapText="1"/>
    </xf>
    <xf numFmtId="0" fontId="20" fillId="10" borderId="17" xfId="0" applyFont="1" applyFill="1" applyBorder="1" applyAlignment="1">
      <alignment horizontal="right" vertical="center" wrapText="1"/>
    </xf>
    <xf numFmtId="0" fontId="20" fillId="18" borderId="17" xfId="0" applyFont="1" applyFill="1" applyBorder="1" applyAlignment="1">
      <alignment horizontal="right" vertical="center" wrapText="1"/>
    </xf>
    <xf numFmtId="0" fontId="20" fillId="10" borderId="18" xfId="0" applyFont="1" applyFill="1" applyBorder="1" applyAlignment="1">
      <alignment horizontal="right" vertical="center" wrapText="1"/>
    </xf>
    <xf numFmtId="0" fontId="20" fillId="10" borderId="16" xfId="0" applyFont="1" applyFill="1" applyBorder="1" applyAlignment="1">
      <alignment horizontal="right" vertical="center" wrapText="1"/>
    </xf>
    <xf numFmtId="0" fontId="2" fillId="6" borderId="7" xfId="0" applyFont="1" applyFill="1" applyBorder="1"/>
    <xf numFmtId="0" fontId="0" fillId="0" borderId="9" xfId="0" applyBorder="1"/>
    <xf numFmtId="0" fontId="2" fillId="6" borderId="9" xfId="0" applyFont="1" applyFill="1" applyBorder="1"/>
    <xf numFmtId="0" fontId="2" fillId="6" borderId="45" xfId="0" applyFont="1" applyFill="1" applyBorder="1"/>
    <xf numFmtId="0" fontId="2" fillId="6" borderId="44" xfId="0" applyFont="1" applyFill="1" applyBorder="1"/>
    <xf numFmtId="0" fontId="0" fillId="0" borderId="41" xfId="0" applyBorder="1"/>
    <xf numFmtId="0" fontId="2" fillId="17" borderId="7" xfId="0" applyFont="1" applyFill="1" applyBorder="1"/>
    <xf numFmtId="0" fontId="2" fillId="6" borderId="7" xfId="0" applyFont="1" applyFill="1" applyBorder="1" applyAlignment="1">
      <alignment horizontal="center" wrapText="1"/>
    </xf>
    <xf numFmtId="164" fontId="3" fillId="11" borderId="31" xfId="0" applyNumberFormat="1" applyFont="1" applyFill="1" applyBorder="1"/>
    <xf numFmtId="164" fontId="3" fillId="11" borderId="8" xfId="0" applyNumberFormat="1" applyFont="1" applyFill="1" applyBorder="1"/>
    <xf numFmtId="0" fontId="3" fillId="11" borderId="48" xfId="0" applyFont="1" applyFill="1" applyBorder="1"/>
    <xf numFmtId="166" fontId="3" fillId="11" borderId="49" xfId="0" applyNumberFormat="1" applyFont="1" applyFill="1" applyBorder="1"/>
    <xf numFmtId="1" fontId="18" fillId="18" borderId="50" xfId="8" applyNumberFormat="1" applyFont="1" applyFill="1" applyBorder="1" applyAlignment="1">
      <alignment horizontal="center"/>
    </xf>
    <xf numFmtId="1" fontId="18" fillId="5" borderId="50" xfId="8" applyNumberFormat="1" applyFont="1" applyBorder="1" applyAlignment="1">
      <alignment horizontal="center"/>
    </xf>
    <xf numFmtId="0" fontId="2" fillId="17" borderId="51" xfId="0" applyFont="1" applyFill="1" applyBorder="1"/>
    <xf numFmtId="0" fontId="0" fillId="0" borderId="52" xfId="0" applyBorder="1"/>
    <xf numFmtId="0" fontId="2" fillId="17" borderId="53" xfId="0" applyFont="1" applyFill="1" applyBorder="1"/>
    <xf numFmtId="0" fontId="0" fillId="0" borderId="54" xfId="0" applyBorder="1"/>
    <xf numFmtId="1" fontId="18" fillId="18" borderId="55" xfId="8" applyNumberFormat="1" applyFont="1" applyFill="1" applyBorder="1" applyAlignment="1">
      <alignment horizontal="center"/>
    </xf>
    <xf numFmtId="1" fontId="1" fillId="18" borderId="56" xfId="8" applyNumberFormat="1" applyFill="1" applyBorder="1" applyAlignment="1">
      <alignment horizontal="center"/>
    </xf>
    <xf numFmtId="1" fontId="18" fillId="18" borderId="57" xfId="8" applyNumberFormat="1" applyFont="1" applyFill="1" applyBorder="1" applyAlignment="1">
      <alignment horizontal="center"/>
    </xf>
    <xf numFmtId="1" fontId="1" fillId="18" borderId="58" xfId="8" applyNumberFormat="1" applyFill="1" applyBorder="1" applyAlignment="1">
      <alignment horizontal="center"/>
    </xf>
    <xf numFmtId="166" fontId="18" fillId="18" borderId="59" xfId="8" applyNumberFormat="1" applyFont="1" applyFill="1" applyBorder="1" applyAlignment="1">
      <alignment horizontal="center"/>
    </xf>
    <xf numFmtId="166" fontId="1" fillId="18" borderId="60" xfId="8" applyNumberFormat="1" applyFill="1" applyBorder="1" applyAlignment="1">
      <alignment horizontal="center"/>
    </xf>
    <xf numFmtId="0" fontId="2" fillId="6" borderId="61" xfId="0" applyFont="1" applyFill="1" applyBorder="1"/>
    <xf numFmtId="0" fontId="2" fillId="6" borderId="8" xfId="0" applyFont="1" applyFill="1" applyBorder="1"/>
    <xf numFmtId="1" fontId="18" fillId="5" borderId="62" xfId="8" applyNumberFormat="1" applyFont="1" applyBorder="1" applyAlignment="1">
      <alignment horizontal="center"/>
    </xf>
    <xf numFmtId="166" fontId="18" fillId="5" borderId="63" xfId="8" applyNumberFormat="1" applyFont="1" applyBorder="1" applyAlignment="1">
      <alignment horizontal="center"/>
    </xf>
  </cellXfs>
  <cellStyles count="12">
    <cellStyle name="40% - Accent1 2" xfId="8" xr:uid="{00000000-0005-0000-0000-00002E000000}"/>
    <cellStyle name="Calculation" xfId="3" builtinId="22"/>
    <cellStyle name="Hyperlink" xfId="6" builtinId="8"/>
    <cellStyle name="Hyperlink 2" xfId="9" xr:uid="{00000000-0005-0000-0000-00002F000000}"/>
    <cellStyle name="Input" xfId="2" builtinId="20"/>
    <cellStyle name="Input 2" xfId="10" xr:uid="{00000000-0005-0000-0000-000030000000}"/>
    <cellStyle name="Normal" xfId="0" builtinId="0"/>
    <cellStyle name="Percent" xfId="1" builtinId="5"/>
    <cellStyle name="Percent 2" xfId="7" xr:uid="{00000000-0005-0000-0000-00002D000000}"/>
    <cellStyle name="Percent 3" xfId="11" xr:uid="{00000000-0005-0000-0000-000031000000}"/>
    <cellStyle name="Title 2" xfId="5" xr:uid="{00000000-0005-0000-0000-00002B000000}"/>
    <cellStyle name="Title 3" xfId="4" xr:uid="{00000000-0005-0000-0000-00002A000000}"/>
  </cellStyles>
  <dxfs count="61"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numFmt numFmtId="164" formatCode="0.000"/>
      <alignment horizontal="center" vertical="center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alignment horizontal="center" vertical="bottom"/>
    </dxf>
    <dxf>
      <numFmt numFmtId="2" formatCode="0.00"/>
      <alignment horizontal="center" vertical="bottom"/>
    </dxf>
    <dxf>
      <alignment horizontal="center" vertical="bottom"/>
    </dxf>
    <dxf>
      <numFmt numFmtId="2" formatCode="0.00"/>
      <alignment horizontal="center" vertical="bottom"/>
    </dxf>
    <dxf>
      <numFmt numFmtId="2" formatCode="0.00"/>
      <alignment horizontal="center" vertical="bottom"/>
    </dxf>
    <dxf>
      <numFmt numFmtId="2" formatCode="0.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7" formatCode="0.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0.000"/>
      <alignment horizontal="center" vertical="center"/>
      <border outline="0">
        <left/>
        <right style="medium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0.000"/>
      <alignment horizontal="center" vertical="center"/>
    </dxf>
    <dxf>
      <numFmt numFmtId="164" formatCode="0.000"/>
      <alignment horizontal="center" vertical="center"/>
      <border>
        <left/>
        <right style="thin">
          <color indexed="64"/>
        </right>
        <top/>
        <bottom/>
        <vertical/>
        <horizontal/>
      </border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2" formatCode="0.00"/>
      <alignment horizontal="center" vertical="center"/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alignment vertical="center"/>
    </dxf>
    <dxf>
      <alignment horizontal="left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2" formatCode="0.0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outline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7" formatCode="0.0%"/>
      <fill>
        <patternFill>
          <fgColor indexed="64"/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2" formatCode="0.00"/>
      <fill>
        <patternFill>
          <fgColor indexed="64"/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fgColor indexed="64"/>
          <bgColor theme="0" tint="-0.14999847407452621"/>
        </patternFill>
      </fill>
      <alignment horizontal="general" vertical="center" wrapText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0"/>
      <tableStyleElement type="headerRow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Time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BB-4052-B205-586E437D20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BB-4052-B205-586E437D20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BB-4052-B205-586E437D20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BBB-4052-B205-586E437D20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BBB-4052-B205-586E437D203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BBB-4052-B205-586E437D203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BBB-4052-B205-586E437D203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BBB-4052-B205-586E437D203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BBB-4052-B205-586E437D203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HOBL!$B$8:$B$16</c:f>
              <c:strCache>
                <c:ptCount val="9"/>
                <c:pt idx="0">
                  <c:v>Web</c:v>
                </c:pt>
                <c:pt idx="1">
                  <c:v>Productivity</c:v>
                </c:pt>
                <c:pt idx="2">
                  <c:v>Communication</c:v>
                </c:pt>
                <c:pt idx="3">
                  <c:v>Gaming</c:v>
                </c:pt>
                <c:pt idx="4">
                  <c:v>Entertainment</c:v>
                </c:pt>
                <c:pt idx="5">
                  <c:v>System</c:v>
                </c:pt>
                <c:pt idx="6">
                  <c:v>Smartphone</c:v>
                </c:pt>
                <c:pt idx="7">
                  <c:v>Social</c:v>
                </c:pt>
                <c:pt idx="8">
                  <c:v>Idle</c:v>
                </c:pt>
              </c:strCache>
            </c:strRef>
          </c:cat>
          <c:val>
            <c:numRef>
              <c:f>HOBL!$E$8:$E$16</c:f>
              <c:numCache>
                <c:formatCode>0.0%</c:formatCode>
                <c:ptCount val="9"/>
                <c:pt idx="0">
                  <c:v>7.4999999999999997E-2</c:v>
                </c:pt>
                <c:pt idx="1">
                  <c:v>4.4999999999999998E-2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0.06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BBB-4052-B205-586E437D20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FD-4B2B-BBA6-A41FDB655E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FD-4B2B-BBA6-A41FDB655E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FD-4B2B-BBA6-A41FDB655EC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5FD-4B2B-BBA6-A41FDB655EC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5FD-4B2B-BBA6-A41FDB655EC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5FD-4B2B-BBA6-A41FDB655EC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5FD-4B2B-BBA6-A41FDB655EC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5FD-4B2B-BBA6-A41FDB655EC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5FD-4B2B-BBA6-A41FDB655EC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HOBL!$B$8:$B$16</c:f>
              <c:strCache>
                <c:ptCount val="9"/>
                <c:pt idx="0">
                  <c:v>Web</c:v>
                </c:pt>
                <c:pt idx="1">
                  <c:v>Productivity</c:v>
                </c:pt>
                <c:pt idx="2">
                  <c:v>Communication</c:v>
                </c:pt>
                <c:pt idx="3">
                  <c:v>Gaming</c:v>
                </c:pt>
                <c:pt idx="4">
                  <c:v>Entertainment</c:v>
                </c:pt>
                <c:pt idx="5">
                  <c:v>System</c:v>
                </c:pt>
                <c:pt idx="6">
                  <c:v>Smartphone</c:v>
                </c:pt>
                <c:pt idx="7">
                  <c:v>Social</c:v>
                </c:pt>
                <c:pt idx="8">
                  <c:v>Idle</c:v>
                </c:pt>
              </c:strCache>
            </c:strRef>
          </c:cat>
          <c:val>
            <c:numRef>
              <c:f>HOBL!$F$8:$F$16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5FD-4B2B-BBA6-A41FDB655EC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75123497669818E-2"/>
          <c:y val="9.3558773903262088E-2"/>
          <c:w val="0.94772886208688678"/>
          <c:h val="0.76068984739739387"/>
        </c:manualLayout>
      </c:layout>
      <c:lineChart>
        <c:grouping val="standard"/>
        <c:varyColors val="0"/>
        <c:ser>
          <c:idx val="0"/>
          <c:order val="0"/>
          <c:tx>
            <c:v>ABL Active On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HOBL!$I$53:$I$81</c:f>
            </c:multiLvlStrRef>
          </c:cat>
          <c:val>
            <c:numRef>
              <c:f>HOBL!$K$53:$K$81</c:f>
              <c:numCache>
                <c:formatCode>0.0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3-410E-B537-BC9ED3D14892}"/>
            </c:ext>
          </c:extLst>
        </c:ser>
        <c:ser>
          <c:idx val="1"/>
          <c:order val="1"/>
          <c:tx>
            <c:v>ABL Active On Target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multiLvlStrRef>
              <c:f>HOBL!$I$53:$I$81</c:f>
            </c:multiLvlStrRef>
          </c:cat>
          <c:val>
            <c:numRef>
              <c:f>HOBL!$L$53:$L$81</c:f>
              <c:numCache>
                <c:formatCode>0.0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3-410E-B537-BC9ED3D14892}"/>
            </c:ext>
          </c:extLst>
        </c:ser>
        <c:ser>
          <c:idx val="2"/>
          <c:order val="2"/>
          <c:tx>
            <c:v>HOBL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HOBL!$I$53:$I$81</c:f>
            </c:multiLvlStrRef>
          </c:cat>
          <c:val>
            <c:numRef>
              <c:f>HOBL!$M$53:$M$81</c:f>
              <c:numCache>
                <c:formatCode>0.0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B3-410E-B537-BC9ED3D14892}"/>
            </c:ext>
          </c:extLst>
        </c:ser>
        <c:ser>
          <c:idx val="3"/>
          <c:order val="3"/>
          <c:tx>
            <c:v>HOBL Target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multiLvlStrRef>
              <c:f>HOBL!$I$53:$I$81</c:f>
            </c:multiLvlStrRef>
          </c:cat>
          <c:val>
            <c:numRef>
              <c:f>HOBL!$N$53:$N$81</c:f>
              <c:numCache>
                <c:formatCode>0.0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B3-410E-B537-BC9ED3D14892}"/>
            </c:ext>
          </c:extLst>
        </c:ser>
        <c:ser>
          <c:idx val="4"/>
          <c:order val="4"/>
          <c:tx>
            <c:v>ABL Telemetry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HOBL!$I$53:$I$81</c:f>
            </c:multiLvlStrRef>
          </c:cat>
          <c:val>
            <c:numRef>
              <c:f>HOBL!$O$53:$O$81</c:f>
              <c:numCache>
                <c:formatCode>0.0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B3-410E-B537-BC9ED3D14892}"/>
            </c:ext>
          </c:extLst>
        </c:ser>
        <c:ser>
          <c:idx val="5"/>
          <c:order val="5"/>
          <c:tx>
            <c:v>Standby Telemetry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HOBL!$I$53:$I$81</c:f>
            </c:multiLvlStrRef>
          </c:cat>
          <c:val>
            <c:numRef>
              <c:f>HOBL!$P$53:$P$81</c:f>
              <c:numCache>
                <c:formatCode>0.0</c:formatCode>
                <c:ptCount val="2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B3-410E-B537-BC9ED3D148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2589176"/>
        <c:axId val="792721736"/>
      </c:lineChart>
      <c:catAx>
        <c:axId val="79258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 Build</a:t>
                </a:r>
              </a:p>
            </c:rich>
          </c:tx>
          <c:layout>
            <c:manualLayout>
              <c:xMode val="edge"/>
              <c:yMode val="edge"/>
              <c:x val="0.47647565325584001"/>
              <c:y val="0.944517013498312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9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1736"/>
        <c:crosses val="autoZero"/>
        <c:auto val="1"/>
        <c:lblAlgn val="ctr"/>
        <c:lblOffset val="100"/>
        <c:tickLblSkip val="1"/>
        <c:noMultiLvlLbl val="0"/>
      </c:catAx>
      <c:valAx>
        <c:axId val="7927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7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369421</xdr:colOff>
      <xdr:row>40</xdr:row>
      <xdr:rowOff>17556</xdr:rowOff>
    </xdr:from>
    <xdr:to>
      <xdr:col>7</xdr:col>
      <xdr:colOff>35379</xdr:colOff>
      <xdr:row>55</xdr:row>
      <xdr:rowOff>173235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170702</xdr:colOff>
      <xdr:row>40</xdr:row>
      <xdr:rowOff>17556</xdr:rowOff>
    </xdr:from>
    <xdr:to>
      <xdr:col>3</xdr:col>
      <xdr:colOff>251746</xdr:colOff>
      <xdr:row>55</xdr:row>
      <xdr:rowOff>177998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170702</xdr:colOff>
      <xdr:row>57</xdr:row>
      <xdr:rowOff>19050</xdr:rowOff>
    </xdr:from>
    <xdr:to>
      <xdr:col>7</xdr:col>
      <xdr:colOff>212537</xdr:colOff>
      <xdr:row>100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ic_HoBL_Summary6" displayName="Classic_HoBL_Summary6" ref="B4:H18" totalsRowShown="0" headerRowDxfId="58" dataDxfId="57" tableBorderDxfId="56">
  <tableColumns count="7">
    <tableColumn id="1" xr3:uid="{00000000-0010-0000-0000-000001000000}" name="Category" dataDxfId="55" dataCellStyle="Input"/>
    <tableColumn id="2" xr3:uid="{00000000-0010-0000-0000-000002000000}" name="Category Power" dataDxfId="54"/>
    <tableColumn id="4" xr3:uid="{00000000-0010-0000-0000-000004000000}" name="&quot;DiL&quot; Time" dataDxfId="53" dataCellStyle="Percent"/>
    <tableColumn id="5" xr3:uid="{00000000-0010-0000-0000-000005000000}" name="&quot;System On&quot;" dataDxfId="52" dataCellStyle="Percent"/>
    <tableColumn id="6" xr3:uid="{00000000-0010-0000-0000-000006000000}" name="Weighted Power" dataDxfId="51" dataCellStyle="Percent"/>
    <tableColumn id="7" xr3:uid="{00000000-0010-0000-0000-000007000000}" name="Battery Draw" dataDxfId="50" dataCellStyle="Percent"/>
    <tableColumn id="8" xr3:uid="{00000000-0010-0000-0000-000008000000}" name="Energy Usage" dataDxfId="49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ic_Scenarios_Measured" displayName="Classic_Scenarios_Measured" ref="C21:K48" totalsRowShown="0" headerRowDxfId="48" dataDxfId="47">
  <tableColumns count="9">
    <tableColumn id="4" xr3:uid="{00000000-0010-0000-0100-000004000000}" name="Category" dataDxfId="46"/>
    <tableColumn id="2" xr3:uid="{00000000-0010-0000-0100-000002000000}" name="Scenario" dataDxfId="45"/>
    <tableColumn id="8" xr3:uid="{00000000-0010-0000-0100-000008000000}" name="Scenario Duration (hrs)" dataDxfId="44" totalsRowDxfId="43" totalsRowCellStyle="Percent">
      <calculatedColumnFormula>_xlfn.IFNA(VLOOKUP(Classic_Scenarios_Measured[[#This Row],[Category]],Classic_Categories_Measured[],2,FALSE),"")*Classic_Scenarios_Measured[[#This Row],[Scenario Weight]]</calculatedColumnFormula>
    </tableColumn>
    <tableColumn id="3" xr3:uid="{00000000-0010-0000-0100-000003000000}" name="Scenario Weight" dataDxfId="42" totalsRowDxfId="41" dataCellStyle="Percent 2" totalsRowCellStyle="Percent"/>
    <tableColumn id="5" xr3:uid="{00000000-0010-0000-0100-000005000000}" name="Posture Weighted Power &amp; Adders (W)" dataDxfId="40">
      <calculatedColumnFormula>SUM(Classic_Scenarios_Measured[[#This Row],[Adders (W)]], Classic_Scenarios_Measured[[#This Row],[Scorecard (W)]])</calculatedColumnFormula>
    </tableColumn>
    <tableColumn id="7" xr3:uid="{00000000-0010-0000-0100-000007000000}" name="Adders (W)" dataDxfId="39">
      <calculatedColumnFormula>IF(Classic_Scenarios_Measured[[#This Row],[Scorecard (W)]]&lt;&gt;"", SUM(Classic_Scenarios_Measured[[#This Row],[Manual Adder (W)]:[Touch Adder (W)]]), "")</calculatedColumnFormula>
    </tableColumn>
    <tableColumn id="13" xr3:uid="{00000000-0010-0000-0100-00000D000000}" name="Manual Adder (W)" dataDxfId="38"/>
    <tableColumn id="12" xr3:uid="{00000000-0010-0000-0100-00000C000000}" name="Touch Adder (W)" dataDxfId="37"/>
    <tableColumn id="10" xr3:uid="{00000000-0010-0000-0100-00000A000000}" name="Scorecard (W)" dataDxfId="29">
      <calculatedColumnFormula>IF(OFFSET(Scorecard!$B$15, 0, MATCH(Classic_Scenarios_Measured[[#This Row],[Scenario]], Scorecard!$B$2:$BC$2,0))&lt;&gt;"", OFFSET(Scorecard!$B$15, 0, MATCH(Classic_Scenarios_Measured[[#This Row],[Scenario]], Scorecard!$B$2:$BC$2,0))/1000,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ic_Categories_Measured" displayName="Classic_Categories_Measured" ref="A3:E17" totalsRowCount="1">
  <autoFilter ref="A3:E16" xr:uid="{00000000-0009-0000-0100-000003000000}"/>
  <tableColumns count="5">
    <tableColumn id="1" xr3:uid="{00000000-0010-0000-0200-000001000000}" name="Categories"/>
    <tableColumn id="4" xr3:uid="{00000000-0010-0000-0200-000004000000}" name="Category Weight" dataDxfId="36" dataCellStyle="Percent"/>
    <tableColumn id="2" xr3:uid="{00000000-0010-0000-0200-000002000000}" name="Usage Time (hrs)" totalsRowFunction="sum" dataDxfId="35" totalsRowDxfId="34">
      <calculatedColumnFormula>18*Classic_Categories_Measured[[#This Row],[Category Weight]]</calculatedColumnFormula>
    </tableColumn>
    <tableColumn id="3" xr3:uid="{00000000-0010-0000-0200-000003000000}" name="Category Power (W)" dataDxfId="33" totalsRowDxfId="32">
      <calculatedColumnFormula array="1">SUMPRODUCT((Classic_Scenarios_Measured[Scenario Weight]*Classic_Scenarios_Measured[Posture Weighted Power &amp; Adders (W)])*(Classic_Scenarios_Measured[Category]=Classic_Categories_Measured[[#This Row],[Categories]]))</calculatedColumnFormula>
    </tableColumn>
    <tableColumn id="5" xr3:uid="{00000000-0010-0000-0200-000005000000}" name="HoBL Power (W)" totalsRowFunction="sum" dataDxfId="31" totalsRowDxfId="30" dataCellStyle="Percent 2">
      <calculatedColumnFormula>Classic_Categories_Measured[[#This Row],[Category Power (W)]]*Classic_Categories_Measured[[#This Row],[Category Weight]]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1:B30" totalsRowShown="0">
  <autoFilter ref="A1:B30" xr:uid="{00000000-0009-0000-0100-000004000000}"/>
  <sortState xmlns:xlrd2="http://schemas.microsoft.com/office/spreadsheetml/2017/richdata2" ref="A2:B28">
    <sortCondition ref="A1:A28"/>
  </sortState>
  <tableColumns count="2">
    <tableColumn id="1" xr3:uid="{00000000-0010-0000-0300-000001000000}" name="Scenario"/>
    <tableColumn id="2" xr3:uid="{00000000-0010-0000-0300-000002000000}" name="Touch Adder (W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98"/>
  <sheetViews>
    <sheetView tabSelected="1" zoomScale="85" zoomScaleNormal="85" workbookViewId="0">
      <selection activeCell="B3" sqref="B3"/>
    </sheetView>
  </sheetViews>
  <sheetFormatPr defaultColWidth="9" defaultRowHeight="14.5" x14ac:dyDescent="0.35"/>
  <cols>
    <col min="1" max="1" width="16.81640625" customWidth="1"/>
    <col min="2" max="2" width="29" bestFit="1" customWidth="1"/>
    <col min="3" max="3" width="16.81640625" customWidth="1"/>
    <col min="4" max="4" width="13.1796875" bestFit="1" customWidth="1"/>
    <col min="5" max="5" width="19.1796875" customWidth="1"/>
    <col min="6" max="6" width="18" customWidth="1"/>
    <col min="7" max="7" width="17.81640625" style="9" customWidth="1"/>
    <col min="8" max="8" width="14.81640625" customWidth="1"/>
    <col min="9" max="9" width="12.1796875" bestFit="1" customWidth="1"/>
    <col min="10" max="10" width="24.54296875" customWidth="1"/>
    <col min="11" max="11" width="13.54296875" customWidth="1"/>
    <col min="12" max="12" width="20.1796875" customWidth="1"/>
    <col min="13" max="13" width="20.1796875" style="3" bestFit="1" customWidth="1"/>
    <col min="14" max="14" width="15.54296875" customWidth="1"/>
    <col min="15" max="15" width="14.54296875" bestFit="1" customWidth="1"/>
    <col min="16" max="16" width="12.81640625" customWidth="1"/>
    <col min="17" max="17" width="9" customWidth="1"/>
    <col min="20" max="25" width="9" customWidth="1"/>
  </cols>
  <sheetData>
    <row r="1" spans="1:27" ht="14.25" customHeight="1" x14ac:dyDescent="0.35">
      <c r="A1" s="119">
        <v>8</v>
      </c>
      <c r="C1" s="120"/>
      <c r="D1" s="27"/>
      <c r="E1" s="27"/>
      <c r="F1" s="27"/>
      <c r="G1" s="28"/>
      <c r="H1" s="27"/>
      <c r="I1" s="27"/>
      <c r="J1" s="27"/>
    </row>
    <row r="2" spans="1:27" ht="16.5" customHeight="1" thickBot="1" x14ac:dyDescent="0.4">
      <c r="A2" s="121"/>
      <c r="C2" s="120"/>
      <c r="D2" s="27"/>
      <c r="E2" s="27"/>
      <c r="F2" s="27"/>
      <c r="G2" s="28"/>
      <c r="H2" s="27"/>
      <c r="I2" s="27"/>
      <c r="J2" s="27"/>
    </row>
    <row r="3" spans="1:27" ht="15.75" customHeight="1" thickBot="1" x14ac:dyDescent="0.4">
      <c r="A3" s="26" t="s">
        <v>0</v>
      </c>
      <c r="D3" s="29" t="s">
        <v>1</v>
      </c>
      <c r="E3" s="191" t="s">
        <v>2</v>
      </c>
      <c r="F3" s="192"/>
      <c r="G3" s="193" t="s">
        <v>3</v>
      </c>
      <c r="H3" s="194"/>
      <c r="I3" s="30"/>
      <c r="J3" s="30"/>
      <c r="K3" s="89" t="s">
        <v>4</v>
      </c>
      <c r="L3" s="89"/>
      <c r="M3" s="89"/>
      <c r="N3" s="89"/>
      <c r="O3" s="89"/>
      <c r="P3" s="84"/>
      <c r="Q3" s="84"/>
      <c r="R3" s="84"/>
      <c r="W3" s="84"/>
      <c r="X3" s="84"/>
      <c r="Y3" s="84"/>
      <c r="Z3" s="84"/>
      <c r="AA3" s="84"/>
    </row>
    <row r="4" spans="1:27" ht="15.75" customHeight="1" x14ac:dyDescent="0.35">
      <c r="B4" s="31" t="s">
        <v>5</v>
      </c>
      <c r="C4" s="32" t="s">
        <v>6</v>
      </c>
      <c r="D4" s="33" t="s">
        <v>7</v>
      </c>
      <c r="E4" s="34" t="s">
        <v>8</v>
      </c>
      <c r="F4" s="35" t="s">
        <v>9</v>
      </c>
      <c r="G4" s="36" t="s">
        <v>10</v>
      </c>
      <c r="H4" s="37" t="s">
        <v>11</v>
      </c>
      <c r="I4" s="27"/>
      <c r="K4" s="89"/>
      <c r="L4" s="89"/>
      <c r="M4" s="89"/>
      <c r="N4" s="89"/>
      <c r="O4" s="89"/>
      <c r="P4" s="84"/>
      <c r="Q4" s="84"/>
      <c r="R4" s="84"/>
      <c r="W4" s="84"/>
      <c r="X4" s="84"/>
      <c r="Y4" s="84"/>
      <c r="Z4" s="84"/>
      <c r="AA4" s="84"/>
    </row>
    <row r="5" spans="1:27" ht="15.75" customHeight="1" thickBot="1" x14ac:dyDescent="0.4">
      <c r="B5" s="38"/>
      <c r="C5" s="39" t="s">
        <v>12</v>
      </c>
      <c r="D5" s="40" t="s">
        <v>13</v>
      </c>
      <c r="E5" s="41" t="s">
        <v>14</v>
      </c>
      <c r="F5" s="42" t="s">
        <v>12</v>
      </c>
      <c r="G5" s="43" t="s">
        <v>14</v>
      </c>
      <c r="H5" s="44" t="s">
        <v>15</v>
      </c>
      <c r="I5" s="27"/>
      <c r="K5" s="89"/>
      <c r="L5" s="84"/>
      <c r="M5" s="89"/>
      <c r="N5" s="89"/>
      <c r="O5" s="89"/>
      <c r="P5" s="84"/>
      <c r="Q5" s="84"/>
      <c r="R5" s="84"/>
      <c r="W5" s="84"/>
      <c r="X5" s="84"/>
      <c r="Y5" s="84"/>
      <c r="Z5" s="84"/>
      <c r="AA5" s="84"/>
    </row>
    <row r="6" spans="1:27" ht="15.75" customHeight="1" x14ac:dyDescent="0.35">
      <c r="B6" s="122" t="s">
        <v>16</v>
      </c>
      <c r="C6" s="45">
        <f ca="1">VLOOKUP(Classic_HoBL_Summary6[[#This Row],[Category]],Classic_Categories_Measured[[Categories]:[Category Power (W)]], 4, FALSE)</f>
        <v>0</v>
      </c>
      <c r="D6" s="123">
        <f>$D$7*(Classic_HoBL_Summary6[[#This Row],["System On"]]/$E$7)</f>
        <v>12.6</v>
      </c>
      <c r="E6" s="124">
        <v>0.7</v>
      </c>
      <c r="F6" s="123">
        <f ca="1">E6*C6</f>
        <v>0</v>
      </c>
      <c r="G6" s="125" t="e">
        <f ca="1">F6/F$18</f>
        <v>#DIV/0!</v>
      </c>
      <c r="H6" s="126" t="e">
        <f ca="1">G6*G$23</f>
        <v>#DIV/0!</v>
      </c>
      <c r="I6" s="27"/>
      <c r="K6" s="84"/>
      <c r="L6" s="84" t="s">
        <v>17</v>
      </c>
      <c r="M6" s="87" t="s">
        <v>18</v>
      </c>
      <c r="N6" s="84" t="s">
        <v>5</v>
      </c>
      <c r="O6" s="84" t="s">
        <v>19</v>
      </c>
      <c r="P6" s="84" t="s">
        <v>20</v>
      </c>
      <c r="Q6" s="84" t="s">
        <v>21</v>
      </c>
      <c r="R6" s="84"/>
      <c r="W6" s="84"/>
      <c r="X6" s="84" t="s">
        <v>22</v>
      </c>
      <c r="Y6" s="84" t="s">
        <v>23</v>
      </c>
      <c r="Z6" s="84" t="s">
        <v>24</v>
      </c>
      <c r="AA6" s="84"/>
    </row>
    <row r="7" spans="1:27" ht="15.75" customHeight="1" x14ac:dyDescent="0.35">
      <c r="B7" s="46" t="s">
        <v>25</v>
      </c>
      <c r="C7" s="127"/>
      <c r="D7" s="128">
        <f>18*Classic_HoBL_Summary6[[#This Row],["System On"]]</f>
        <v>12.6</v>
      </c>
      <c r="E7" s="129">
        <v>0.7</v>
      </c>
      <c r="F7" s="130">
        <f ca="1">SUM(F6:F6)</f>
        <v>0</v>
      </c>
      <c r="G7" s="129" t="e">
        <f ca="1">SUM(G6:G6)</f>
        <v>#DIV/0!</v>
      </c>
      <c r="H7" s="131" t="e">
        <f ca="1">SUM(H6:H6)</f>
        <v>#DIV/0!</v>
      </c>
      <c r="I7" s="27"/>
      <c r="K7" s="84"/>
      <c r="L7" s="132" t="str">
        <f ca="1">IF(X7=0, "Not Required", IF(Y7 &lt; X7,  "Absent Data", "Present"))</f>
        <v>Absent Data</v>
      </c>
      <c r="M7" s="87" t="s">
        <v>26</v>
      </c>
      <c r="N7" s="84" t="s">
        <v>27</v>
      </c>
      <c r="O7" s="159">
        <f t="shared" ref="O7:O39" ca="1" si="0">MAX(0, P7-Z7)</f>
        <v>3</v>
      </c>
      <c r="P7" s="159">
        <v>3</v>
      </c>
      <c r="Q7" s="158" t="str">
        <f t="array" aca="1" ref="Q7" ca="1">IFERROR(OFFSET(INDIRECT("Power."&amp;M7&amp;"!A1"),MATCH("Total Power (W)",INDIRECT("Power."&amp;M7&amp;"!A:A"),0)-1,MATCH("Std Dev",INDIRECT("Power."&amp;M7&amp;"!1:1"),0)-1),"")</f>
        <v/>
      </c>
      <c r="R7" s="84"/>
      <c r="W7" s="84"/>
      <c r="X7" s="88">
        <f>COUNTIFS(Classic_Scenarios_Measured[Scenario Weight], "&gt;1%", Classic_Scenarios_Measured[Scenario], HOBL!M7)</f>
        <v>1</v>
      </c>
      <c r="Y7" s="88">
        <f ca="1">COUNTIFS(Classic_Scenarios_Measured[Scorecard (W)], "&gt;.001", Classic_Scenarios_Measured[Scenario], HOBL!M7)</f>
        <v>0</v>
      </c>
      <c r="Z7" s="88">
        <f t="shared" ref="Z7:Z39" ca="1" si="1">MAX(0, COUNTA(INDIRECT("Power."&amp;M7&amp;"!B1:BA1"))-2)</f>
        <v>0</v>
      </c>
      <c r="AA7" s="84"/>
    </row>
    <row r="8" spans="1:27" ht="15.75" customHeight="1" x14ac:dyDescent="0.35">
      <c r="B8" s="122" t="s">
        <v>28</v>
      </c>
      <c r="C8" s="82">
        <f ca="1">VLOOKUP(Classic_HoBL_Summary6[[#This Row],[Category]],Classic_Categories_Measured[[Categories]:[Category Power (W)]], 4, FALSE)</f>
        <v>0</v>
      </c>
      <c r="D8" s="123">
        <f>$D$17*Classic_HoBL_Summary6[[#This Row],["System On"]]/$E$17</f>
        <v>1.3499999999999999</v>
      </c>
      <c r="E8" s="124">
        <v>7.4999999999999997E-2</v>
      </c>
      <c r="F8" s="123">
        <f t="shared" ref="F8:F16" ca="1" si="2">E8*C8</f>
        <v>0</v>
      </c>
      <c r="G8" s="125" t="e">
        <f t="shared" ref="G8:G16" ca="1" si="3">F8/F$18</f>
        <v>#DIV/0!</v>
      </c>
      <c r="H8" s="126" t="e">
        <f t="shared" ref="H8:H16" ca="1" si="4">G8*G$23</f>
        <v>#DIV/0!</v>
      </c>
      <c r="I8" s="27"/>
      <c r="K8" s="84"/>
      <c r="L8" s="132" t="str">
        <f t="shared" ref="L8:L39" si="5">IF(X8=0, "Not Required", IF(Y8 &lt; X8, "Absent Data", "Present"))</f>
        <v>Not Required</v>
      </c>
      <c r="M8" s="133" t="s">
        <v>29</v>
      </c>
      <c r="N8" s="134" t="s">
        <v>27</v>
      </c>
      <c r="O8" s="156">
        <f t="shared" ca="1" si="0"/>
        <v>0</v>
      </c>
      <c r="P8" s="160">
        <v>0</v>
      </c>
      <c r="Q8" s="157" t="str">
        <f t="array" aca="1" ref="Q8" ca="1">IFERROR(OFFSET(INDIRECT("Power."&amp;M8&amp;"!A1"),MATCH("Total Power (W)",INDIRECT("Power."&amp;M8&amp;"!A:A"),0)-1,MATCH("Std Dev",INDIRECT("Power."&amp;M8&amp;"!1:1"),0)-1),"")</f>
        <v/>
      </c>
      <c r="R8" s="84"/>
      <c r="W8" s="84"/>
      <c r="X8" s="88">
        <f>COUNTIFS(Classic_Scenarios_Measured[Scenario Weight], "&gt;1%", Classic_Scenarios_Measured[Scenario], HOBL!M8)</f>
        <v>0</v>
      </c>
      <c r="Y8" s="88">
        <f ca="1">COUNTIFS(Classic_Scenarios_Measured[Scorecard (W)], "&gt;.001", Classic_Scenarios_Measured[Scenario], HOBL!M8)</f>
        <v>0</v>
      </c>
      <c r="Z8" s="88">
        <f t="shared" ca="1" si="1"/>
        <v>0</v>
      </c>
      <c r="AA8" s="84"/>
    </row>
    <row r="9" spans="1:27" ht="15.75" customHeight="1" x14ac:dyDescent="0.35">
      <c r="B9" s="122" t="s">
        <v>30</v>
      </c>
      <c r="C9" s="82">
        <f ca="1">VLOOKUP(Classic_HoBL_Summary6[[#This Row],[Category]],Classic_Categories_Measured[[Categories]:[Category Power (W)]], 4, FALSE)</f>
        <v>0</v>
      </c>
      <c r="D9" s="123">
        <f>$D$17*Classic_HoBL_Summary6[[#This Row],["System On"]]/$E$17</f>
        <v>0.80999999999999994</v>
      </c>
      <c r="E9" s="124">
        <v>4.4999999999999998E-2</v>
      </c>
      <c r="F9" s="123">
        <f t="shared" ca="1" si="2"/>
        <v>0</v>
      </c>
      <c r="G9" s="125" t="e">
        <f t="shared" ca="1" si="3"/>
        <v>#DIV/0!</v>
      </c>
      <c r="H9" s="126" t="e">
        <f t="shared" ca="1" si="4"/>
        <v>#DIV/0!</v>
      </c>
      <c r="I9" s="27"/>
      <c r="K9" s="84"/>
      <c r="L9" s="132" t="str">
        <f t="shared" ca="1" si="5"/>
        <v>Absent Data</v>
      </c>
      <c r="M9" s="87" t="s">
        <v>31</v>
      </c>
      <c r="N9" s="84" t="s">
        <v>27</v>
      </c>
      <c r="O9" s="155">
        <f t="shared" ca="1" si="0"/>
        <v>3</v>
      </c>
      <c r="P9" s="159">
        <v>3</v>
      </c>
      <c r="Q9" s="158" t="str">
        <f t="array" aca="1" ref="Q9" ca="1">IFERROR(OFFSET(INDIRECT("Power."&amp;M9&amp;"!A1"),MATCH("Total Power (W)",INDIRECT("Power."&amp;M9&amp;"!A:A"),0)-1,MATCH("Std Dev",INDIRECT("Power."&amp;M9&amp;"!1:1"),0)-1),"")</f>
        <v/>
      </c>
      <c r="R9" s="84"/>
      <c r="W9" s="84"/>
      <c r="X9" s="88">
        <f>COUNTIFS(Classic_Scenarios_Measured[Scenario Weight], "&gt;1%", Classic_Scenarios_Measured[Scenario], HOBL!M9)</f>
        <v>1</v>
      </c>
      <c r="Y9" s="88">
        <f ca="1">COUNTIFS(Classic_Scenarios_Measured[Scorecard (W)], "&gt;.001", Classic_Scenarios_Measured[Scenario], HOBL!M9)</f>
        <v>0</v>
      </c>
      <c r="Z9" s="88">
        <f t="shared" ca="1" si="1"/>
        <v>0</v>
      </c>
      <c r="AA9" s="84"/>
    </row>
    <row r="10" spans="1:27" ht="15.65" customHeight="1" x14ac:dyDescent="0.35">
      <c r="B10" s="122" t="s">
        <v>32</v>
      </c>
      <c r="C10" s="82">
        <f ca="1">VLOOKUP(Classic_HoBL_Summary6[[#This Row],[Category]],Classic_Categories_Measured[[Categories]:[Category Power (W)]], 4, FALSE)</f>
        <v>0</v>
      </c>
      <c r="D10" s="123">
        <f>$D$17*Classic_HoBL_Summary6[[#This Row],["System On"]]/$E$17</f>
        <v>0.53999999999999992</v>
      </c>
      <c r="E10" s="124">
        <v>0.03</v>
      </c>
      <c r="F10" s="123">
        <f t="shared" ca="1" si="2"/>
        <v>0</v>
      </c>
      <c r="G10" s="124" t="e">
        <f t="shared" ca="1" si="3"/>
        <v>#DIV/0!</v>
      </c>
      <c r="H10" s="126" t="e">
        <f t="shared" ca="1" si="4"/>
        <v>#DIV/0!</v>
      </c>
      <c r="I10" s="27"/>
      <c r="K10" s="84"/>
      <c r="L10" s="132" t="str">
        <f t="shared" ca="1" si="5"/>
        <v>Absent Data</v>
      </c>
      <c r="M10" s="133" t="s">
        <v>33</v>
      </c>
      <c r="N10" s="134" t="s">
        <v>28</v>
      </c>
      <c r="O10" s="156">
        <f t="shared" ca="1" si="0"/>
        <v>3</v>
      </c>
      <c r="P10" s="160">
        <v>3</v>
      </c>
      <c r="Q10" s="157" t="str">
        <f t="array" aca="1" ref="Q10" ca="1">IFERROR(OFFSET(INDIRECT("Power."&amp;M10&amp;"!A1"),MATCH("Total Power (W)",INDIRECT("Power."&amp;M10&amp;"!A:A"),0)-1,MATCH("Std Dev",INDIRECT("Power."&amp;M10&amp;"!1:1"),0)-1),"")</f>
        <v/>
      </c>
      <c r="R10" s="84"/>
      <c r="W10" s="84"/>
      <c r="X10" s="88">
        <f>COUNTIFS(Classic_Scenarios_Measured[Scenario Weight], "&gt;1%", Classic_Scenarios_Measured[Scenario], HOBL!M10)</f>
        <v>1</v>
      </c>
      <c r="Y10" s="88">
        <f ca="1">COUNTIFS(Classic_Scenarios_Measured[Scorecard (W)], "&gt;.001", Classic_Scenarios_Measured[Scenario], HOBL!M10)</f>
        <v>0</v>
      </c>
      <c r="Z10" s="88">
        <f t="shared" ca="1" si="1"/>
        <v>0</v>
      </c>
      <c r="AA10" s="84"/>
    </row>
    <row r="11" spans="1:27" ht="15.65" customHeight="1" x14ac:dyDescent="0.35">
      <c r="B11" s="122" t="s">
        <v>34</v>
      </c>
      <c r="C11" s="82">
        <f ca="1">VLOOKUP(Classic_HoBL_Summary6[[#This Row],[Category]],Classic_Categories_Measured[[Categories]:[Category Power (W)]], 4, FALSE)</f>
        <v>0</v>
      </c>
      <c r="D11" s="123">
        <f>$D$17*Classic_HoBL_Summary6[[#This Row],["System On"]]/$E$17</f>
        <v>0.53999999999999992</v>
      </c>
      <c r="E11" s="124">
        <v>0.03</v>
      </c>
      <c r="F11" s="123">
        <f t="shared" ca="1" si="2"/>
        <v>0</v>
      </c>
      <c r="G11" s="124" t="e">
        <f t="shared" ca="1" si="3"/>
        <v>#DIV/0!</v>
      </c>
      <c r="H11" s="126" t="e">
        <f t="shared" ca="1" si="4"/>
        <v>#DIV/0!</v>
      </c>
      <c r="I11" s="27"/>
      <c r="K11" s="84"/>
      <c r="L11" s="132" t="str">
        <f t="shared" ca="1" si="5"/>
        <v>Absent Data</v>
      </c>
      <c r="M11" s="87" t="s">
        <v>142</v>
      </c>
      <c r="N11" s="84" t="s">
        <v>28</v>
      </c>
      <c r="O11" s="155">
        <f t="shared" ca="1" si="0"/>
        <v>3</v>
      </c>
      <c r="P11" s="159">
        <v>3</v>
      </c>
      <c r="Q11" s="158" t="str">
        <f t="array" aca="1" ref="Q11" ca="1">IFERROR(OFFSET(INDIRECT("Power."&amp;M11&amp;"!A1"),MATCH("Total Power (W)",INDIRECT("Power."&amp;M11&amp;"!A:A"),0)-1,MATCH("Std Dev",INDIRECT("Power."&amp;M11&amp;"!1:1"),0)-1),"")</f>
        <v/>
      </c>
      <c r="R11" s="84"/>
      <c r="W11" s="84"/>
      <c r="X11" s="88">
        <f>COUNTIFS(Classic_Scenarios_Measured[Scenario Weight], "&gt;1%", Classic_Scenarios_Measured[Scenario], HOBL!M11)</f>
        <v>1</v>
      </c>
      <c r="Y11" s="88">
        <f ca="1">COUNTIFS(Classic_Scenarios_Measured[Scorecard (W)], "&gt;.001", Classic_Scenarios_Measured[Scenario], HOBL!M11)</f>
        <v>0</v>
      </c>
      <c r="Z11" s="88">
        <f t="shared" ca="1" si="1"/>
        <v>0</v>
      </c>
      <c r="AA11" s="84"/>
    </row>
    <row r="12" spans="1:27" ht="15.65" customHeight="1" x14ac:dyDescent="0.35">
      <c r="B12" s="122" t="s">
        <v>36</v>
      </c>
      <c r="C12" s="82">
        <f ca="1">VLOOKUP(Classic_HoBL_Summary6[[#This Row],[Category]],Classic_Categories_Measured[[Categories]:[Category Power (W)]], 4, FALSE)</f>
        <v>0</v>
      </c>
      <c r="D12" s="123">
        <f>$D$17*Classic_HoBL_Summary6[[#This Row],["System On"]]/$E$17</f>
        <v>0.53999999999999992</v>
      </c>
      <c r="E12" s="124">
        <v>0.03</v>
      </c>
      <c r="F12" s="123">
        <f t="shared" ca="1" si="2"/>
        <v>0</v>
      </c>
      <c r="G12" s="124" t="e">
        <f t="shared" ca="1" si="3"/>
        <v>#DIV/0!</v>
      </c>
      <c r="H12" s="126" t="e">
        <f t="shared" ca="1" si="4"/>
        <v>#DIV/0!</v>
      </c>
      <c r="I12" s="27"/>
      <c r="K12" s="84"/>
      <c r="L12" s="132" t="str">
        <f t="shared" si="5"/>
        <v>Not Required</v>
      </c>
      <c r="M12" s="133" t="s">
        <v>37</v>
      </c>
      <c r="N12" s="134" t="s">
        <v>28</v>
      </c>
      <c r="O12" s="156">
        <f t="shared" ca="1" si="0"/>
        <v>0</v>
      </c>
      <c r="P12" s="160">
        <v>0</v>
      </c>
      <c r="Q12" s="157" t="str">
        <f t="array" aca="1" ref="Q12" ca="1">IFERROR(OFFSET(INDIRECT("Power."&amp;M12&amp;"!A1"),MATCH("Total Power (W)",INDIRECT("Power."&amp;M12&amp;"!A:A"),0)-1,MATCH("Std Dev",INDIRECT("Power."&amp;M12&amp;"!1:1"),0)-1),"")</f>
        <v/>
      </c>
      <c r="R12" s="84"/>
      <c r="W12" s="84"/>
      <c r="X12" s="88">
        <f>COUNTIFS(Classic_Scenarios_Measured[Scenario Weight], "&gt;1%", Classic_Scenarios_Measured[Scenario], HOBL!M12)</f>
        <v>0</v>
      </c>
      <c r="Y12" s="88">
        <f ca="1">COUNTIFS(Classic_Scenarios_Measured[Scorecard (W)], "&gt;.001", Classic_Scenarios_Measured[Scenario], HOBL!M12)</f>
        <v>0</v>
      </c>
      <c r="Z12" s="88">
        <f t="shared" ca="1" si="1"/>
        <v>0</v>
      </c>
      <c r="AA12" s="84"/>
    </row>
    <row r="13" spans="1:27" ht="15.65" customHeight="1" x14ac:dyDescent="0.35">
      <c r="B13" s="122" t="s">
        <v>38</v>
      </c>
      <c r="C13" s="82">
        <f ca="1">VLOOKUP(Classic_HoBL_Summary6[[#This Row],[Category]],Classic_Categories_Measured[[Categories]:[Category Power (W)]], 4, FALSE)</f>
        <v>0</v>
      </c>
      <c r="D13" s="123">
        <f>$D$17*Classic_HoBL_Summary6[[#This Row],["System On"]]/$E$17</f>
        <v>0.26999999999999996</v>
      </c>
      <c r="E13" s="124">
        <v>1.4999999999999999E-2</v>
      </c>
      <c r="F13" s="123">
        <f t="shared" ca="1" si="2"/>
        <v>0</v>
      </c>
      <c r="G13" s="124" t="e">
        <f t="shared" ca="1" si="3"/>
        <v>#DIV/0!</v>
      </c>
      <c r="H13" s="126" t="e">
        <f t="shared" ca="1" si="4"/>
        <v>#DIV/0!</v>
      </c>
      <c r="I13" s="27"/>
      <c r="K13" s="84"/>
      <c r="L13" s="132" t="str">
        <f t="shared" si="5"/>
        <v>Not Required</v>
      </c>
      <c r="M13" s="87" t="s">
        <v>39</v>
      </c>
      <c r="N13" s="84" t="s">
        <v>36</v>
      </c>
      <c r="O13" s="155">
        <f t="shared" ca="1" si="0"/>
        <v>5</v>
      </c>
      <c r="P13" s="159">
        <v>5</v>
      </c>
      <c r="Q13" s="158" t="str">
        <f t="array" aca="1" ref="Q13" ca="1">IFERROR(OFFSET(INDIRECT("Power."&amp;M13&amp;"!A1"),MATCH("Total Power (W)",INDIRECT("Power."&amp;M13&amp;"!A:A"),0)-1,MATCH("Std Dev",INDIRECT("Power."&amp;M13&amp;"!1:1"),0)-1),"")</f>
        <v/>
      </c>
      <c r="R13" s="84"/>
      <c r="W13" s="84"/>
      <c r="X13" s="88">
        <f>COUNTIFS(Classic_Scenarios_Measured[Scenario Weight], "&gt;1%", Classic_Scenarios_Measured[Scenario], HOBL!M13)</f>
        <v>0</v>
      </c>
      <c r="Y13" s="88">
        <f ca="1">COUNTIFS(Classic_Scenarios_Measured[Scorecard (W)], "&gt;.001", Classic_Scenarios_Measured[Scenario], HOBL!M13)</f>
        <v>0</v>
      </c>
      <c r="Z13" s="88">
        <f t="shared" ca="1" si="1"/>
        <v>0</v>
      </c>
      <c r="AA13" s="84"/>
    </row>
    <row r="14" spans="1:27" ht="15.65" customHeight="1" x14ac:dyDescent="0.35">
      <c r="B14" s="122" t="s">
        <v>40</v>
      </c>
      <c r="C14" s="82">
        <f ca="1">VLOOKUP(Classic_HoBL_Summary6[[#This Row],[Category]],Classic_Categories_Measured[[Categories]:[Category Power (W)]], 4, FALSE)</f>
        <v>0</v>
      </c>
      <c r="D14" s="123">
        <f>$D$17*Classic_HoBL_Summary6[[#This Row],["System On"]]/$E$17</f>
        <v>0.26999999999999996</v>
      </c>
      <c r="E14" s="124">
        <v>1.4999999999999999E-2</v>
      </c>
      <c r="F14" s="123">
        <f t="shared" ca="1" si="2"/>
        <v>0</v>
      </c>
      <c r="G14" s="124" t="e">
        <f t="shared" ca="1" si="3"/>
        <v>#DIV/0!</v>
      </c>
      <c r="H14" s="126" t="e">
        <f t="shared" ca="1" si="4"/>
        <v>#DIV/0!</v>
      </c>
      <c r="I14" s="27"/>
      <c r="K14" s="84"/>
      <c r="L14" s="132" t="str">
        <f t="shared" si="5"/>
        <v>Not Required</v>
      </c>
      <c r="M14" s="133" t="s">
        <v>41</v>
      </c>
      <c r="N14" s="134" t="s">
        <v>36</v>
      </c>
      <c r="O14" s="156">
        <f t="shared" ca="1" si="0"/>
        <v>0</v>
      </c>
      <c r="P14" s="160">
        <v>0</v>
      </c>
      <c r="Q14" s="157" t="str">
        <f t="array" aca="1" ref="Q14" ca="1">IFERROR(OFFSET(INDIRECT("Power."&amp;M14&amp;"!A1"),MATCH("Total Power (W)",INDIRECT("Power."&amp;M14&amp;"!A:A"),0)-1,MATCH("Std Dev",INDIRECT("Power."&amp;M14&amp;"!1:1"),0)-1),"")</f>
        <v/>
      </c>
      <c r="R14" s="84"/>
      <c r="W14" s="84"/>
      <c r="X14" s="88">
        <f>COUNTIFS(Classic_Scenarios_Measured[Scenario Weight], "&gt;1%", Classic_Scenarios_Measured[Scenario], HOBL!M14)</f>
        <v>0</v>
      </c>
      <c r="Y14" s="88">
        <f ca="1">COUNTIFS(Classic_Scenarios_Measured[Scorecard (W)], "&gt;.001", Classic_Scenarios_Measured[Scenario], HOBL!M14)</f>
        <v>0</v>
      </c>
      <c r="Z14" s="88">
        <f t="shared" ca="1" si="1"/>
        <v>0</v>
      </c>
      <c r="AA14" s="84"/>
    </row>
    <row r="15" spans="1:27" ht="15.65" customHeight="1" x14ac:dyDescent="0.35">
      <c r="B15" s="122" t="s">
        <v>27</v>
      </c>
      <c r="C15" s="82">
        <f ca="1">VLOOKUP(Classic_HoBL_Summary6[[#This Row],[Category]],Classic_Categories_Measured[[Categories]:[Category Power (W)]], 4, FALSE)</f>
        <v>0</v>
      </c>
      <c r="D15" s="47">
        <f>$D$17*Classic_HoBL_Summary6[[#This Row],["System On"]]/$E$17</f>
        <v>1.0799999999999998</v>
      </c>
      <c r="E15" s="124">
        <v>0.06</v>
      </c>
      <c r="F15" s="123">
        <f t="shared" ca="1" si="2"/>
        <v>0</v>
      </c>
      <c r="G15" s="124" t="e">
        <f t="shared" ca="1" si="3"/>
        <v>#DIV/0!</v>
      </c>
      <c r="H15" s="126" t="e">
        <f t="shared" ca="1" si="4"/>
        <v>#DIV/0!</v>
      </c>
      <c r="I15" s="27"/>
      <c r="J15" s="27"/>
      <c r="K15" s="84"/>
      <c r="L15" s="132" t="str">
        <f t="shared" ca="1" si="5"/>
        <v>Absent Data</v>
      </c>
      <c r="M15" s="87" t="s">
        <v>42</v>
      </c>
      <c r="N15" s="84" t="s">
        <v>36</v>
      </c>
      <c r="O15" s="155">
        <f t="shared" ca="1" si="0"/>
        <v>3</v>
      </c>
      <c r="P15" s="159">
        <v>3</v>
      </c>
      <c r="Q15" s="158" t="str">
        <f t="array" aca="1" ref="Q15" ca="1">IFERROR(OFFSET(INDIRECT("Power."&amp;M15&amp;"!A1"),MATCH("Total Power (W)",INDIRECT("Power."&amp;M15&amp;"!A:A"),0)-1,MATCH("Std Dev",INDIRECT("Power."&amp;M15&amp;"!1:1"),0)-1),"")</f>
        <v/>
      </c>
      <c r="R15" s="84"/>
      <c r="W15" s="84"/>
      <c r="X15" s="88">
        <f>COUNTIFS(Classic_Scenarios_Measured[Scenario Weight], "&gt;1%", Classic_Scenarios_Measured[Scenario], HOBL!M15)</f>
        <v>1</v>
      </c>
      <c r="Y15" s="88">
        <f ca="1">COUNTIFS(Classic_Scenarios_Measured[Scorecard (W)], "&gt;.001", Classic_Scenarios_Measured[Scenario], HOBL!M15)</f>
        <v>0</v>
      </c>
      <c r="Z15" s="88">
        <f t="shared" ca="1" si="1"/>
        <v>0</v>
      </c>
      <c r="AA15" s="84"/>
    </row>
    <row r="16" spans="1:27" ht="15.75" customHeight="1" x14ac:dyDescent="0.35">
      <c r="B16" s="122" t="s">
        <v>43</v>
      </c>
      <c r="C16" s="82">
        <f ca="1">VLOOKUP(Classic_HoBL_Summary6[[#This Row],[Category]],Classic_Categories_Measured[[Categories]:[Category Power (W)]], 4, FALSE)</f>
        <v>0</v>
      </c>
      <c r="D16" s="47">
        <f>$D$17*Classic_HoBL_Summary6[[#This Row],["System On"]]/$E$17</f>
        <v>0</v>
      </c>
      <c r="E16" s="124">
        <v>0</v>
      </c>
      <c r="F16" s="123">
        <f t="shared" ca="1" si="2"/>
        <v>0</v>
      </c>
      <c r="G16" s="124" t="e">
        <f t="shared" ca="1" si="3"/>
        <v>#DIV/0!</v>
      </c>
      <c r="H16" s="126" t="e">
        <f t="shared" ca="1" si="4"/>
        <v>#DIV/0!</v>
      </c>
      <c r="I16" s="27"/>
      <c r="J16" s="27"/>
      <c r="K16" s="84"/>
      <c r="L16" s="132" t="str">
        <f t="shared" si="5"/>
        <v>Not Required</v>
      </c>
      <c r="M16" s="133" t="s">
        <v>44</v>
      </c>
      <c r="N16" s="134" t="s">
        <v>36</v>
      </c>
      <c r="O16" s="156">
        <f t="shared" ca="1" si="0"/>
        <v>0</v>
      </c>
      <c r="P16" s="160">
        <v>0</v>
      </c>
      <c r="Q16" s="157" t="str">
        <f t="array" aca="1" ref="Q16" ca="1">IFERROR(OFFSET(INDIRECT("Power."&amp;M16&amp;"!A1"),MATCH("Total Power (W)",INDIRECT("Power."&amp;M16&amp;"!A:A"),0)-1,MATCH("Std Dev",INDIRECT("Power."&amp;M16&amp;"!1:1"),0)-1),"")</f>
        <v/>
      </c>
      <c r="R16" s="84"/>
      <c r="W16" s="84"/>
      <c r="X16" s="88">
        <f>COUNTIFS(Classic_Scenarios_Measured[Scenario Weight], "&gt;1%", Classic_Scenarios_Measured[Scenario], HOBL!M16)</f>
        <v>0</v>
      </c>
      <c r="Y16" s="88">
        <f ca="1">COUNTIFS(Classic_Scenarios_Measured[Scorecard (W)], "&gt;.001", Classic_Scenarios_Measured[Scenario], HOBL!M16)</f>
        <v>0</v>
      </c>
      <c r="Z16" s="88">
        <f t="shared" ca="1" si="1"/>
        <v>0</v>
      </c>
      <c r="AA16" s="84"/>
    </row>
    <row r="17" spans="2:27" ht="15.75" customHeight="1" x14ac:dyDescent="0.35">
      <c r="B17" s="46" t="s">
        <v>45</v>
      </c>
      <c r="C17" s="131"/>
      <c r="D17" s="128">
        <f>18*Classic_HoBL_Summary6[[#This Row],["System On"]]</f>
        <v>5.3999999999999995</v>
      </c>
      <c r="E17" s="129">
        <v>0.3</v>
      </c>
      <c r="F17" s="130">
        <f ca="1">SUM(F8:F16)</f>
        <v>0</v>
      </c>
      <c r="G17" s="129" t="e">
        <f ca="1">SUM(G8:G16)</f>
        <v>#DIV/0!</v>
      </c>
      <c r="H17" s="131" t="e">
        <f ca="1">SUM(H8:H16)</f>
        <v>#DIV/0!</v>
      </c>
      <c r="I17" s="27"/>
      <c r="J17" s="27"/>
      <c r="K17" s="84"/>
      <c r="L17" s="132" t="str">
        <f t="shared" si="5"/>
        <v>Not Required</v>
      </c>
      <c r="M17" s="87" t="s">
        <v>46</v>
      </c>
      <c r="N17" s="84" t="s">
        <v>36</v>
      </c>
      <c r="O17" s="155">
        <f t="shared" ca="1" si="0"/>
        <v>0</v>
      </c>
      <c r="P17" s="159">
        <v>0</v>
      </c>
      <c r="Q17" s="158" t="str">
        <f t="array" aca="1" ref="Q17" ca="1">IFERROR(OFFSET(INDIRECT("Power."&amp;M17&amp;"!A1"),MATCH("Total Power (W)",INDIRECT("Power."&amp;M17&amp;"!A:A"),0)-1,MATCH("Std Dev",INDIRECT("Power."&amp;M17&amp;"!1:1"),0)-1),"")</f>
        <v/>
      </c>
      <c r="R17" s="84"/>
      <c r="W17" s="84"/>
      <c r="X17" s="88">
        <f>COUNTIFS(Classic_Scenarios_Measured[Scenario Weight], "&gt;1%", Classic_Scenarios_Measured[Scenario], HOBL!M17)</f>
        <v>0</v>
      </c>
      <c r="Y17" s="88">
        <f ca="1">COUNTIFS(Classic_Scenarios_Measured[Scorecard (W)], "&gt;.001", Classic_Scenarios_Measured[Scenario], HOBL!M17)</f>
        <v>0</v>
      </c>
      <c r="Z17" s="88">
        <f t="shared" ca="1" si="1"/>
        <v>0</v>
      </c>
      <c r="AA17" s="84"/>
    </row>
    <row r="18" spans="2:27" ht="15.75" customHeight="1" thickBot="1" x14ac:dyDescent="0.4">
      <c r="B18" s="48" t="s">
        <v>47</v>
      </c>
      <c r="C18" s="161"/>
      <c r="D18" s="162">
        <f>SUM(D7,D17)</f>
        <v>18</v>
      </c>
      <c r="E18" s="163">
        <f>SUM(E7,E17)</f>
        <v>1</v>
      </c>
      <c r="F18" s="161">
        <f ca="1">SUM(F7,F17)</f>
        <v>0</v>
      </c>
      <c r="G18" s="164" t="e">
        <f ca="1">G7+G17</f>
        <v>#DIV/0!</v>
      </c>
      <c r="H18" s="161" t="e">
        <f ca="1">H7+H17</f>
        <v>#DIV/0!</v>
      </c>
      <c r="K18" s="84"/>
      <c r="L18" s="132" t="str">
        <f t="shared" ca="1" si="5"/>
        <v>Absent Data</v>
      </c>
      <c r="M18" s="133" t="s">
        <v>48</v>
      </c>
      <c r="N18" s="134" t="s">
        <v>36</v>
      </c>
      <c r="O18" s="156">
        <f t="shared" ca="1" si="0"/>
        <v>3</v>
      </c>
      <c r="P18" s="160">
        <v>3</v>
      </c>
      <c r="Q18" s="157" t="str">
        <f t="array" aca="1" ref="Q18" ca="1">IFERROR(OFFSET(INDIRECT("Power."&amp;M18&amp;"!A1"),MATCH("Total Power (W)",INDIRECT("Power."&amp;M18&amp;"!A:A"),0)-1,MATCH("Std Dev",INDIRECT("Power."&amp;M18&amp;"!1:1"),0)-1),"")</f>
        <v/>
      </c>
      <c r="R18" s="84"/>
      <c r="W18" s="84"/>
      <c r="X18" s="88">
        <f>COUNTIFS(Classic_Scenarios_Measured[Scenario Weight], "&gt;1%", Classic_Scenarios_Measured[Scenario], HOBL!M18)</f>
        <v>1</v>
      </c>
      <c r="Y18" s="88">
        <f ca="1">COUNTIFS(Classic_Scenarios_Measured[Scorecard (W)], "&gt;.001", Classic_Scenarios_Measured[Scenario], HOBL!M18)</f>
        <v>0</v>
      </c>
      <c r="Z18" s="88">
        <f t="shared" ca="1" si="1"/>
        <v>0</v>
      </c>
      <c r="AA18" s="84"/>
    </row>
    <row r="19" spans="2:27" ht="16" customHeight="1" x14ac:dyDescent="0.35">
      <c r="B19" s="27"/>
      <c r="C19" s="200" t="s">
        <v>49</v>
      </c>
      <c r="D19" s="199"/>
      <c r="E19" s="199"/>
      <c r="F19" s="199"/>
      <c r="G19" s="167">
        <v>13.26</v>
      </c>
      <c r="H19" s="168"/>
      <c r="I19" s="27"/>
      <c r="K19" s="84"/>
      <c r="L19" s="132" t="str">
        <f t="shared" si="5"/>
        <v>Not Required</v>
      </c>
      <c r="M19" s="87" t="s">
        <v>50</v>
      </c>
      <c r="N19" s="84" t="s">
        <v>36</v>
      </c>
      <c r="O19" s="155">
        <f t="shared" ca="1" si="0"/>
        <v>0</v>
      </c>
      <c r="P19" s="159">
        <v>0</v>
      </c>
      <c r="Q19" s="158" t="str">
        <f t="array" aca="1" ref="Q19" ca="1">IFERROR(OFFSET(INDIRECT("Power."&amp;M19&amp;"!A1"),MATCH("Total Power (W)",INDIRECT("Power."&amp;M19&amp;"!A:A"),0)-1,MATCH("Std Dev",INDIRECT("Power."&amp;M19&amp;"!1:1"),0)-1),"")</f>
        <v/>
      </c>
      <c r="R19" s="84"/>
      <c r="W19" s="84"/>
      <c r="X19" s="88">
        <f>COUNTIFS(Classic_Scenarios_Measured[Scenario Weight], "&gt;1%", Classic_Scenarios_Measured[Scenario], HOBL!M19)</f>
        <v>0</v>
      </c>
      <c r="Y19" s="88">
        <f ca="1">COUNTIFS(Classic_Scenarios_Measured[Scorecard (W)], "&gt;.001", Classic_Scenarios_Measured[Scenario], HOBL!M19)</f>
        <v>0</v>
      </c>
      <c r="Z19" s="88">
        <f t="shared" ca="1" si="1"/>
        <v>0</v>
      </c>
      <c r="AA19" s="84"/>
    </row>
    <row r="20" spans="2:27" ht="18.649999999999999" customHeight="1" x14ac:dyDescent="0.35">
      <c r="C20" s="195" t="s">
        <v>51</v>
      </c>
      <c r="D20" s="196"/>
      <c r="E20" s="196"/>
      <c r="F20" s="197"/>
      <c r="G20" s="166">
        <v>13.7</v>
      </c>
      <c r="H20" s="137"/>
      <c r="I20" s="28"/>
      <c r="J20" s="27"/>
      <c r="K20" s="84"/>
      <c r="L20" s="132" t="str">
        <f t="shared" si="5"/>
        <v>Not Required</v>
      </c>
      <c r="M20" s="133" t="s">
        <v>52</v>
      </c>
      <c r="N20" s="134" t="s">
        <v>36</v>
      </c>
      <c r="O20" s="156">
        <f t="shared" ca="1" si="0"/>
        <v>0</v>
      </c>
      <c r="P20" s="160">
        <v>0</v>
      </c>
      <c r="Q20" s="157" t="str">
        <f t="array" aca="1" ref="Q20" ca="1">IFERROR(OFFSET(INDIRECT("Power."&amp;M20&amp;"!A1"),MATCH("Total Power (W)",INDIRECT("Power."&amp;M20&amp;"!A:A"),0)-1,MATCH("Std Dev",INDIRECT("Power."&amp;M20&amp;"!1:1"),0)-1),"")</f>
        <v/>
      </c>
      <c r="R20" s="84"/>
      <c r="W20" s="84"/>
      <c r="X20" s="88">
        <f>COUNTIFS(Classic_Scenarios_Measured[Scenario Weight], "&gt;1%", Classic_Scenarios_Measured[Scenario], HOBL!M20)</f>
        <v>0</v>
      </c>
      <c r="Y20" s="88">
        <f ca="1">COUNTIFS(Classic_Scenarios_Measured[Scorecard (W)], "&gt;.001", Classic_Scenarios_Measured[Scenario], HOBL!M20)</f>
        <v>0</v>
      </c>
      <c r="Z20" s="88">
        <f t="shared" ca="1" si="1"/>
        <v>0</v>
      </c>
      <c r="AA20" s="84"/>
    </row>
    <row r="21" spans="2:27" ht="15.75" customHeight="1" x14ac:dyDescent="0.35">
      <c r="C21" s="195" t="s">
        <v>53</v>
      </c>
      <c r="D21" s="196"/>
      <c r="E21" s="196"/>
      <c r="F21" s="197"/>
      <c r="G21" s="135">
        <f>Variable_Battery_FCC*H21</f>
        <v>0</v>
      </c>
      <c r="H21" s="170">
        <v>0</v>
      </c>
      <c r="K21" s="84"/>
      <c r="L21" s="132" t="str">
        <f t="shared" si="5"/>
        <v>Not Required</v>
      </c>
      <c r="M21" s="87" t="s">
        <v>54</v>
      </c>
      <c r="N21" s="84" t="s">
        <v>36</v>
      </c>
      <c r="O21" s="155">
        <f t="shared" ca="1" si="0"/>
        <v>0</v>
      </c>
      <c r="P21" s="159">
        <v>0</v>
      </c>
      <c r="Q21" s="158" t="str">
        <f t="array" aca="1" ref="Q21" ca="1">IFERROR(OFFSET(INDIRECT("Power."&amp;M21&amp;"!A1"),MATCH("Total Power (W)",INDIRECT("Power."&amp;M21&amp;"!A:A"),0)-1,MATCH("Std Dev",INDIRECT("Power."&amp;M21&amp;"!1:1"),0)-1),"")</f>
        <v/>
      </c>
      <c r="R21" s="84"/>
      <c r="W21" s="84"/>
      <c r="X21" s="88">
        <f>COUNTIFS(Classic_Scenarios_Measured[Scenario Weight], "&gt;1%", Classic_Scenarios_Measured[Scenario], HOBL!M21)</f>
        <v>0</v>
      </c>
      <c r="Y21" s="88">
        <f ca="1">COUNTIFS(Classic_Scenarios_Measured[Scorecard (W)], "&gt;.001", Classic_Scenarios_Measured[Scenario], HOBL!M21)</f>
        <v>0</v>
      </c>
      <c r="Z21" s="88">
        <f t="shared" ca="1" si="1"/>
        <v>0</v>
      </c>
      <c r="AA21" s="84"/>
    </row>
    <row r="22" spans="2:27" ht="15.75" customHeight="1" x14ac:dyDescent="0.35">
      <c r="C22" s="195" t="s">
        <v>55</v>
      </c>
      <c r="D22" s="196"/>
      <c r="E22" s="196"/>
      <c r="F22" s="197"/>
      <c r="G22" s="135">
        <f>Variable_Battery_FCC*H22</f>
        <v>0.13699999999999998</v>
      </c>
      <c r="H22" s="170">
        <v>0.01</v>
      </c>
      <c r="K22" s="84"/>
      <c r="L22" s="132" t="str">
        <f t="shared" si="5"/>
        <v>Not Required</v>
      </c>
      <c r="M22" s="133" t="s">
        <v>143</v>
      </c>
      <c r="N22" s="134" t="s">
        <v>36</v>
      </c>
      <c r="O22" s="156">
        <f t="shared" ca="1" si="0"/>
        <v>0</v>
      </c>
      <c r="P22" s="160">
        <v>0</v>
      </c>
      <c r="Q22" s="157" t="str">
        <f t="array" aca="1" ref="Q22" ca="1">IFERROR(OFFSET(INDIRECT("Power."&amp;M22&amp;"!A1"),MATCH("Total Power (W)",INDIRECT("Power."&amp;M22&amp;"!A:A"),0)-1,MATCH("Std Dev",INDIRECT("Power."&amp;M22&amp;"!1:1"),0)-1),"")</f>
        <v/>
      </c>
      <c r="R22" s="84"/>
      <c r="W22" s="84"/>
      <c r="X22" s="88">
        <f>COUNTIFS(Classic_Scenarios_Measured[Scenario Weight], "&gt;1%", Classic_Scenarios_Measured[Scenario], HOBL!M22)</f>
        <v>0</v>
      </c>
      <c r="Y22" s="88">
        <f ca="1">COUNTIFS(Classic_Scenarios_Measured[Scorecard (W)], "&gt;.001", Classic_Scenarios_Measured[Scenario], HOBL!M22)</f>
        <v>0</v>
      </c>
      <c r="Z22" s="88">
        <f t="shared" ca="1" si="1"/>
        <v>0</v>
      </c>
      <c r="AA22" s="84"/>
    </row>
    <row r="23" spans="2:27" ht="15.75" customHeight="1" x14ac:dyDescent="0.35">
      <c r="C23" s="195" t="s">
        <v>57</v>
      </c>
      <c r="D23" s="196"/>
      <c r="E23" s="196"/>
      <c r="F23" s="197"/>
      <c r="G23" s="136">
        <f>Variable_Battery_FCC-SUM(G21:G22)</f>
        <v>13.562999999999999</v>
      </c>
      <c r="H23" s="137"/>
      <c r="K23" s="84"/>
      <c r="L23" s="132" t="str">
        <f t="shared" ca="1" si="5"/>
        <v>Absent Data</v>
      </c>
      <c r="M23" s="87" t="s">
        <v>58</v>
      </c>
      <c r="N23" s="84" t="s">
        <v>32</v>
      </c>
      <c r="O23" s="155">
        <f t="shared" ca="1" si="0"/>
        <v>3</v>
      </c>
      <c r="P23" s="159">
        <v>3</v>
      </c>
      <c r="Q23" s="158" t="str">
        <f t="array" aca="1" ref="Q23" ca="1">IFERROR(OFFSET(INDIRECT("Power."&amp;M23&amp;"!A1"),MATCH("Total Power (W)",INDIRECT("Power."&amp;M23&amp;"!A:A"),0)-1,MATCH("Std Dev",INDIRECT("Power."&amp;M23&amp;"!1:1"),0)-1),"")</f>
        <v/>
      </c>
      <c r="R23" s="84"/>
      <c r="W23" s="84"/>
      <c r="X23" s="88">
        <f>COUNTIFS(Classic_Scenarios_Measured[Scenario Weight], "&gt;1%", Classic_Scenarios_Measured[Scenario], HOBL!M23)</f>
        <v>1</v>
      </c>
      <c r="Y23" s="88">
        <f ca="1">COUNTIFS(Classic_Scenarios_Measured[Scorecard (W)], "&gt;.001", Classic_Scenarios_Measured[Scenario], HOBL!M23)</f>
        <v>0</v>
      </c>
      <c r="Z23" s="88">
        <f t="shared" ca="1" si="1"/>
        <v>0</v>
      </c>
      <c r="AA23" s="84"/>
    </row>
    <row r="24" spans="2:27" ht="15.75" customHeight="1" x14ac:dyDescent="0.35">
      <c r="C24" s="195" t="s">
        <v>59</v>
      </c>
      <c r="D24" s="196"/>
      <c r="E24" s="196"/>
      <c r="F24" s="197"/>
      <c r="G24" s="135" t="e">
        <f ca="1">H7</f>
        <v>#DIV/0!</v>
      </c>
      <c r="H24" s="138"/>
      <c r="K24" s="84"/>
      <c r="L24" s="132" t="str">
        <f t="shared" ca="1" si="5"/>
        <v>Absent Data</v>
      </c>
      <c r="M24" s="133" t="s">
        <v>60</v>
      </c>
      <c r="N24" s="134" t="s">
        <v>34</v>
      </c>
      <c r="O24" s="156">
        <f t="shared" ca="1" si="0"/>
        <v>3</v>
      </c>
      <c r="P24" s="160">
        <v>3</v>
      </c>
      <c r="Q24" s="157" t="str">
        <f t="array" aca="1" ref="Q24" ca="1">IFERROR(OFFSET(INDIRECT("Power."&amp;M24&amp;"!A1"),MATCH("Total Power (W)",INDIRECT("Power."&amp;M24&amp;"!A:A"),0)-1,MATCH("Std Dev",INDIRECT("Power."&amp;M24&amp;"!1:1"),0)-1),"")</f>
        <v/>
      </c>
      <c r="R24" s="84"/>
      <c r="W24" s="84"/>
      <c r="X24" s="88">
        <f>COUNTIFS(Classic_Scenarios_Measured[Scenario Weight], "&gt;1%", Classic_Scenarios_Measured[Scenario], HOBL!M24)</f>
        <v>1</v>
      </c>
      <c r="Y24" s="88">
        <f ca="1">COUNTIFS(Classic_Scenarios_Measured[Scorecard (W)], "&gt;.001", Classic_Scenarios_Measured[Scenario], HOBL!M24)</f>
        <v>0</v>
      </c>
      <c r="Z24" s="88">
        <f t="shared" ca="1" si="1"/>
        <v>0</v>
      </c>
      <c r="AA24" s="84"/>
    </row>
    <row r="25" spans="2:27" ht="19" customHeight="1" x14ac:dyDescent="0.35">
      <c r="C25" s="195"/>
      <c r="D25" s="196"/>
      <c r="E25" s="196"/>
      <c r="F25" s="197"/>
      <c r="G25" s="169"/>
      <c r="H25" s="171"/>
      <c r="K25" s="84"/>
      <c r="L25" s="132" t="str">
        <f t="shared" ca="1" si="5"/>
        <v>Absent Data</v>
      </c>
      <c r="M25" s="87" t="s">
        <v>141</v>
      </c>
      <c r="N25" s="84" t="s">
        <v>30</v>
      </c>
      <c r="O25" s="155">
        <f t="shared" ca="1" si="0"/>
        <v>3</v>
      </c>
      <c r="P25" s="159">
        <v>3</v>
      </c>
      <c r="Q25" s="158" t="str">
        <f t="array" aca="1" ref="Q25" ca="1">IFERROR(OFFSET(INDIRECT("Power."&amp;M25&amp;"!A1"),MATCH("Total Power (W)",INDIRECT("Power."&amp;M25&amp;"!A:A"),0)-1,MATCH("Std Dev",INDIRECT("Power."&amp;M25&amp;"!1:1"),0)-1),"")</f>
        <v/>
      </c>
      <c r="R25" s="84"/>
      <c r="W25" s="84"/>
      <c r="X25" s="88">
        <f>COUNTIFS(Classic_Scenarios_Measured[Scenario Weight], "&gt;1%", Classic_Scenarios_Measured[Scenario], HOBL!M25)</f>
        <v>1</v>
      </c>
      <c r="Y25" s="88">
        <f ca="1">COUNTIFS(Classic_Scenarios_Measured[Scorecard (W)], "&gt;.001", Classic_Scenarios_Measured[Scenario], HOBL!M25)</f>
        <v>0</v>
      </c>
      <c r="Z25" s="88">
        <f t="shared" ca="1" si="1"/>
        <v>0</v>
      </c>
      <c r="AA25" s="84"/>
    </row>
    <row r="26" spans="2:27" ht="15.65" customHeight="1" thickBot="1" x14ac:dyDescent="0.4">
      <c r="C26" s="195" t="s">
        <v>62</v>
      </c>
      <c r="D26" s="196"/>
      <c r="E26" s="196"/>
      <c r="F26" s="197"/>
      <c r="G26" s="172" t="e">
        <f ca="1">G23-SUM(G24:G24)</f>
        <v>#DIV/0!</v>
      </c>
      <c r="H26" s="173"/>
      <c r="K26" s="84"/>
      <c r="L26" s="132" t="str">
        <f t="shared" ca="1" si="5"/>
        <v>Absent Data</v>
      </c>
      <c r="M26" s="133" t="s">
        <v>63</v>
      </c>
      <c r="N26" s="134" t="s">
        <v>40</v>
      </c>
      <c r="O26" s="156">
        <f t="shared" ca="1" si="0"/>
        <v>3</v>
      </c>
      <c r="P26" s="160">
        <v>3</v>
      </c>
      <c r="Q26" s="157" t="str">
        <f t="array" aca="1" ref="Q26" ca="1">IFERROR(OFFSET(INDIRECT("Power."&amp;M26&amp;"!A1"),MATCH("Total Power (W)",INDIRECT("Power."&amp;M26&amp;"!A:A"),0)-1,MATCH("Std Dev",INDIRECT("Power."&amp;M26&amp;"!1:1"),0)-1),"")</f>
        <v/>
      </c>
      <c r="R26" s="84"/>
      <c r="W26" s="84"/>
      <c r="X26" s="88">
        <f>COUNTIFS(Classic_Scenarios_Measured[Scenario Weight], "&gt;1%", Classic_Scenarios_Measured[Scenario], HOBL!M26)</f>
        <v>1</v>
      </c>
      <c r="Y26" s="88">
        <f ca="1">COUNTIFS(Classic_Scenarios_Measured[Scorecard (W)], "&gt;.001", Classic_Scenarios_Measured[Scenario], HOBL!M26)</f>
        <v>0</v>
      </c>
      <c r="Z26" s="88">
        <f t="shared" ca="1" si="1"/>
        <v>0</v>
      </c>
      <c r="AA26" s="84"/>
    </row>
    <row r="27" spans="2:27" ht="15.75" customHeight="1" x14ac:dyDescent="0.35">
      <c r="C27" s="198" t="s">
        <v>64</v>
      </c>
      <c r="D27" s="199"/>
      <c r="E27" s="199"/>
      <c r="F27" s="192"/>
      <c r="G27" s="165">
        <f ca="1">F17/E17</f>
        <v>0</v>
      </c>
      <c r="H27" s="139"/>
      <c r="J27" s="83"/>
      <c r="K27" s="84"/>
      <c r="L27" s="132" t="str">
        <f t="shared" ca="1" si="5"/>
        <v>Absent Data</v>
      </c>
      <c r="M27" s="87" t="s">
        <v>65</v>
      </c>
      <c r="N27" s="84" t="s">
        <v>40</v>
      </c>
      <c r="O27" s="155">
        <f t="shared" ca="1" si="0"/>
        <v>3</v>
      </c>
      <c r="P27" s="159">
        <v>3</v>
      </c>
      <c r="Q27" s="158" t="str">
        <f t="array" aca="1" ref="Q27" ca="1">IFERROR(OFFSET(INDIRECT("Power."&amp;M27&amp;"!A1"),MATCH("Total Power (W)",INDIRECT("Power."&amp;M27&amp;"!A:A"),0)-1,MATCH("Std Dev",INDIRECT("Power."&amp;M27&amp;"!1:1"),0)-1),"")</f>
        <v/>
      </c>
      <c r="R27" s="84"/>
      <c r="W27" s="84"/>
      <c r="X27" s="88">
        <f>COUNTIFS(Classic_Scenarios_Measured[Scenario Weight], "&gt;1%", Classic_Scenarios_Measured[Scenario], HOBL!M27)</f>
        <v>1</v>
      </c>
      <c r="Y27" s="88">
        <f ca="1">COUNTIFS(Classic_Scenarios_Measured[Scorecard (W)], "&gt;.001", Classic_Scenarios_Measured[Scenario], HOBL!M27)</f>
        <v>0</v>
      </c>
      <c r="Z27" s="88">
        <f t="shared" ca="1" si="1"/>
        <v>0</v>
      </c>
      <c r="AA27" s="84"/>
    </row>
    <row r="28" spans="2:27" ht="15.75" customHeight="1" thickBot="1" x14ac:dyDescent="0.4">
      <c r="C28" s="188" t="s">
        <v>66</v>
      </c>
      <c r="D28" s="189"/>
      <c r="E28" s="189"/>
      <c r="F28" s="190"/>
      <c r="G28" s="174">
        <f ca="1">F7/E7</f>
        <v>0</v>
      </c>
      <c r="H28" s="175"/>
      <c r="J28" s="27"/>
      <c r="K28" s="84"/>
      <c r="L28" s="132" t="str">
        <f t="shared" ca="1" si="5"/>
        <v>Absent Data</v>
      </c>
      <c r="M28" s="133" t="s">
        <v>67</v>
      </c>
      <c r="N28" s="134" t="s">
        <v>40</v>
      </c>
      <c r="O28" s="156">
        <f t="shared" ca="1" si="0"/>
        <v>3</v>
      </c>
      <c r="P28" s="160">
        <v>3</v>
      </c>
      <c r="Q28" s="157" t="str">
        <f t="array" aca="1" ref="Q28" ca="1">IFERROR(OFFSET(INDIRECT("Power."&amp;M28&amp;"!A1"),MATCH("Total Power (W)",INDIRECT("Power."&amp;M28&amp;"!A:A"),0)-1,MATCH("Std Dev",INDIRECT("Power."&amp;M28&amp;"!1:1"),0)-1),"")</f>
        <v/>
      </c>
      <c r="R28" s="84"/>
      <c r="W28" s="84"/>
      <c r="X28" s="88">
        <f>COUNTIFS(Classic_Scenarios_Measured[Scenario Weight], "&gt;1%", Classic_Scenarios_Measured[Scenario], HOBL!M28)</f>
        <v>1</v>
      </c>
      <c r="Y28" s="88">
        <f ca="1">COUNTIFS(Classic_Scenarios_Measured[Scorecard (W)], "&gt;.001", Classic_Scenarios_Measured[Scenario], HOBL!M28)</f>
        <v>0</v>
      </c>
      <c r="Z28" s="88">
        <f t="shared" ca="1" si="1"/>
        <v>0</v>
      </c>
      <c r="AA28" s="84"/>
    </row>
    <row r="29" spans="2:27" ht="15.75" customHeight="1" x14ac:dyDescent="0.35">
      <c r="C29" s="204" t="s">
        <v>68</v>
      </c>
      <c r="D29" s="199"/>
      <c r="E29" s="199"/>
      <c r="F29" s="199"/>
      <c r="G29" s="140" t="str">
        <f ca="1">IF(Score_Prediction_HoBL&lt;&gt;"-NA-", Variable_Battery_Active/G27, "-NA-")</f>
        <v>-NA-</v>
      </c>
      <c r="H29" s="141"/>
      <c r="K29" s="84"/>
      <c r="L29" s="132" t="str">
        <f t="shared" ca="1" si="5"/>
        <v>Absent Data</v>
      </c>
      <c r="M29" s="87" t="s">
        <v>69</v>
      </c>
      <c r="N29" s="84" t="s">
        <v>38</v>
      </c>
      <c r="O29" s="155">
        <f t="shared" ca="1" si="0"/>
        <v>3</v>
      </c>
      <c r="P29" s="159">
        <v>3</v>
      </c>
      <c r="Q29" s="158" t="str">
        <f t="array" aca="1" ref="Q29" ca="1">IFERROR(OFFSET(INDIRECT("Power."&amp;M29&amp;"!A1"),MATCH("Total Power (W)",INDIRECT("Power."&amp;M29&amp;"!A:A"),0)-1,MATCH("Std Dev",INDIRECT("Power."&amp;M29&amp;"!1:1"),0)-1),"")</f>
        <v/>
      </c>
      <c r="R29" s="84"/>
      <c r="W29" s="84"/>
      <c r="X29" s="88">
        <f>COUNTIFS(Classic_Scenarios_Measured[Scenario Weight], "&gt;1%", Classic_Scenarios_Measured[Scenario], HOBL!M29)</f>
        <v>1</v>
      </c>
      <c r="Y29" s="88">
        <f ca="1">COUNTIFS(Classic_Scenarios_Measured[Scorecard (W)], "&gt;.001", Classic_Scenarios_Measured[Scenario], HOBL!M29)</f>
        <v>0</v>
      </c>
      <c r="Z29" s="88">
        <f t="shared" ca="1" si="1"/>
        <v>0</v>
      </c>
      <c r="AA29" s="84"/>
    </row>
    <row r="30" spans="2:27" ht="15.75" customHeight="1" x14ac:dyDescent="0.35">
      <c r="C30" s="201" t="s">
        <v>70</v>
      </c>
      <c r="D30" s="196"/>
      <c r="E30" s="196"/>
      <c r="F30" s="196"/>
      <c r="G30" s="142" t="str">
        <f ca="1">IF(Score_Prediction_HoBL&lt;&gt;"-NA-",Variable_Battery_Standby/G28, "-NA-")</f>
        <v>-NA-</v>
      </c>
      <c r="H30" s="143"/>
      <c r="K30" s="84"/>
      <c r="L30" s="132" t="str">
        <f t="shared" ca="1" si="5"/>
        <v>Absent Data</v>
      </c>
      <c r="M30" s="133" t="s">
        <v>71</v>
      </c>
      <c r="N30" s="134" t="s">
        <v>16</v>
      </c>
      <c r="O30" s="156">
        <f t="shared" ca="1" si="0"/>
        <v>5</v>
      </c>
      <c r="P30" s="160">
        <v>5</v>
      </c>
      <c r="Q30" s="157" t="str">
        <f t="array" aca="1" ref="Q30" ca="1">IFERROR(OFFSET(INDIRECT("Power."&amp;M30&amp;"!A1"),MATCH("Total Power (W)",INDIRECT("Power."&amp;M30&amp;"!A:A"),0)-1,MATCH("Std Dev",INDIRECT("Power."&amp;M30&amp;"!1:1"),0)-1),"")</f>
        <v/>
      </c>
      <c r="R30" s="84"/>
      <c r="W30" s="84"/>
      <c r="X30" s="88">
        <f>COUNTIFS(Classic_Scenarios_Measured[Scenario Weight], "&gt;1%", Classic_Scenarios_Measured[Scenario], HOBL!M30)</f>
        <v>1</v>
      </c>
      <c r="Y30" s="88">
        <f ca="1">COUNTIFS(Classic_Scenarios_Measured[Scorecard (W)], "&gt;.001", Classic_Scenarios_Measured[Scenario], HOBL!M30)</f>
        <v>0</v>
      </c>
      <c r="Z30" s="88">
        <f t="shared" ca="1" si="1"/>
        <v>0</v>
      </c>
      <c r="AA30" s="84"/>
    </row>
    <row r="31" spans="2:27" ht="15.75" customHeight="1" x14ac:dyDescent="0.35">
      <c r="C31" s="201" t="s">
        <v>72</v>
      </c>
      <c r="D31" s="196"/>
      <c r="E31" s="196"/>
      <c r="F31" s="196"/>
      <c r="G31" s="144" t="str">
        <f t="array" aca="1" ref="G31" ca="1">IF(INDEX(L7:L39, MATCH("sspnd_app_cell_0s", M7:M39, 0), 0)&lt;&gt;"Absent Data", Variable_Battery_Minimum/VLOOKUP("sspnd_app_cell_0s",Classic_Scenarios_Measured[[Scenario]:[Posture Weighted Power &amp; Adders (W)]], 4, FALSE), "-NA-")</f>
        <v>-NA-</v>
      </c>
      <c r="H31" s="145"/>
      <c r="K31" s="84"/>
      <c r="L31" s="132" t="str">
        <f t="shared" si="5"/>
        <v>Not Required</v>
      </c>
      <c r="M31" s="87" t="s">
        <v>73</v>
      </c>
      <c r="N31" s="84" t="s">
        <v>16</v>
      </c>
      <c r="O31" s="155">
        <f t="shared" ca="1" si="0"/>
        <v>0</v>
      </c>
      <c r="P31" s="159">
        <v>0</v>
      </c>
      <c r="Q31" s="158" t="str">
        <f t="array" aca="1" ref="Q31" ca="1">IFERROR(OFFSET(INDIRECT("Power."&amp;M31&amp;"!A1"),MATCH("Total Power (W)",INDIRECT("Power."&amp;M31&amp;"!A:A"),0)-1,MATCH("Std Dev",INDIRECT("Power."&amp;M31&amp;"!1:1"),0)-1),"")</f>
        <v/>
      </c>
      <c r="R31" s="84"/>
      <c r="W31" s="84"/>
      <c r="X31" s="88">
        <f>COUNTIFS(Classic_Scenarios_Measured[Scenario Weight], "&gt;1%", Classic_Scenarios_Measured[Scenario], HOBL!M31)</f>
        <v>0</v>
      </c>
      <c r="Y31" s="88">
        <f ca="1">COUNTIFS(Classic_Scenarios_Measured[Scorecard (W)], "&gt;.001", Classic_Scenarios_Measured[Scenario], HOBL!M31)</f>
        <v>0</v>
      </c>
      <c r="Z31" s="88">
        <f t="shared" ca="1" si="1"/>
        <v>0</v>
      </c>
      <c r="AA31" s="84"/>
    </row>
    <row r="32" spans="2:27" ht="15.75" customHeight="1" x14ac:dyDescent="0.35">
      <c r="C32" s="201"/>
      <c r="D32" s="196"/>
      <c r="E32" s="196"/>
      <c r="F32" s="196"/>
      <c r="G32" s="146"/>
      <c r="H32" s="145"/>
      <c r="K32" s="84"/>
      <c r="L32" s="132" t="str">
        <f t="shared" ca="1" si="5"/>
        <v>Absent Data</v>
      </c>
      <c r="M32" s="133" t="s">
        <v>74</v>
      </c>
      <c r="N32" s="134" t="s">
        <v>16</v>
      </c>
      <c r="O32" s="156">
        <f t="shared" ca="1" si="0"/>
        <v>5</v>
      </c>
      <c r="P32" s="160">
        <v>5</v>
      </c>
      <c r="Q32" s="157" t="str">
        <f t="array" aca="1" ref="Q32" ca="1">IFERROR(OFFSET(INDIRECT("Power."&amp;M32&amp;"!A1"),MATCH("Total Power (W)",INDIRECT("Power."&amp;M32&amp;"!A:A"),0)-1,MATCH("Std Dev",INDIRECT("Power."&amp;M32&amp;"!1:1"),0)-1),"")</f>
        <v/>
      </c>
      <c r="R32" s="84"/>
      <c r="W32" s="84"/>
      <c r="X32" s="88">
        <f>COUNTIFS(Classic_Scenarios_Measured[Scenario Weight], "&gt;1%", Classic_Scenarios_Measured[Scenario], HOBL!M32)</f>
        <v>1</v>
      </c>
      <c r="Y32" s="88">
        <f ca="1">COUNTIFS(Classic_Scenarios_Measured[Scorecard (W)], "&gt;.001", Classic_Scenarios_Measured[Scenario], HOBL!M32)</f>
        <v>0</v>
      </c>
      <c r="Z32" s="88">
        <f t="shared" ca="1" si="1"/>
        <v>0</v>
      </c>
      <c r="AA32" s="84"/>
    </row>
    <row r="33" spans="2:27" ht="15.75" customHeight="1" x14ac:dyDescent="0.35">
      <c r="C33" s="201" t="s">
        <v>75</v>
      </c>
      <c r="D33" s="196"/>
      <c r="E33" s="196"/>
      <c r="F33" s="196"/>
      <c r="G33" s="146">
        <v>0</v>
      </c>
      <c r="H33" s="145"/>
      <c r="K33" s="84"/>
      <c r="L33" s="132" t="str">
        <f t="shared" si="5"/>
        <v>Not Required</v>
      </c>
      <c r="M33" s="87" t="s">
        <v>76</v>
      </c>
      <c r="N33" s="84" t="s">
        <v>16</v>
      </c>
      <c r="O33" s="155">
        <f t="shared" ca="1" si="0"/>
        <v>0</v>
      </c>
      <c r="P33" s="159">
        <v>0</v>
      </c>
      <c r="Q33" s="158" t="str">
        <f t="array" aca="1" ref="Q33" ca="1">IFERROR(OFFSET(INDIRECT("Power."&amp;M33&amp;"!A1"),MATCH("Total Power (W)",INDIRECT("Power."&amp;M33&amp;"!A:A"),0)-1,MATCH("Std Dev",INDIRECT("Power."&amp;M33&amp;"!1:1"),0)-1),"")</f>
        <v/>
      </c>
      <c r="R33" s="84"/>
      <c r="W33" s="84"/>
      <c r="X33" s="88">
        <f>COUNTIFS(Classic_Scenarios_Measured[Scenario Weight], "&gt;1%", Classic_Scenarios_Measured[Scenario], HOBL!M33)</f>
        <v>0</v>
      </c>
      <c r="Y33" s="88">
        <f ca="1">COUNTIFS(Classic_Scenarios_Measured[Scorecard (W)], "&gt;.001", Classic_Scenarios_Measured[Scenario], HOBL!M33)</f>
        <v>0</v>
      </c>
      <c r="Z33" s="88">
        <f t="shared" ca="1" si="1"/>
        <v>0</v>
      </c>
      <c r="AA33" s="84"/>
    </row>
    <row r="34" spans="2:27" ht="15.75" customHeight="1" x14ac:dyDescent="0.35">
      <c r="C34" s="202" t="s">
        <v>77</v>
      </c>
      <c r="D34" s="196"/>
      <c r="E34" s="196"/>
      <c r="F34" s="196"/>
      <c r="G34" s="142" t="str">
        <f ca="1">IF(COUNTIF($L$7:$L$39, "Absent Data")&gt;0, "-NA-", Variable_Battery_Available/F18)</f>
        <v>-NA-</v>
      </c>
      <c r="H34" s="145"/>
      <c r="K34" s="84"/>
      <c r="L34" s="132" t="str">
        <f t="shared" si="5"/>
        <v>Not Required</v>
      </c>
      <c r="M34" s="133" t="s">
        <v>78</v>
      </c>
      <c r="N34" s="134" t="s">
        <v>16</v>
      </c>
      <c r="O34" s="156">
        <f t="shared" ca="1" si="0"/>
        <v>5</v>
      </c>
      <c r="P34" s="160">
        <v>5</v>
      </c>
      <c r="Q34" s="157" t="str">
        <f t="array" aca="1" ref="Q34" ca="1">IFERROR(OFFSET(INDIRECT("Power."&amp;M34&amp;"!A1"),MATCH("Total Power (W)",INDIRECT("Power."&amp;M34&amp;"!A:A"),0)-1,MATCH("Std Dev",INDIRECT("Power."&amp;M34&amp;"!1:1"),0)-1),"")</f>
        <v/>
      </c>
      <c r="R34" s="84"/>
      <c r="W34" s="84"/>
      <c r="X34" s="88">
        <f>COUNTIFS(Classic_Scenarios_Measured[Scenario Weight], "&gt;1%", Classic_Scenarios_Measured[Scenario], HOBL!M34)</f>
        <v>0</v>
      </c>
      <c r="Y34" s="88">
        <f ca="1">COUNTIFS(Classic_Scenarios_Measured[Scorecard (W)], "&gt;.001", Classic_Scenarios_Measured[Scenario], HOBL!M34)</f>
        <v>0</v>
      </c>
      <c r="Z34" s="88">
        <f t="shared" ca="1" si="1"/>
        <v>0</v>
      </c>
      <c r="AA34" s="84"/>
    </row>
    <row r="35" spans="2:27" ht="15.75" customHeight="1" x14ac:dyDescent="0.35">
      <c r="C35" s="201" t="s">
        <v>79</v>
      </c>
      <c r="D35" s="196"/>
      <c r="E35" s="196"/>
      <c r="F35" s="196"/>
      <c r="G35" s="144" t="str">
        <f ca="1">IF(L39&lt;&gt;"Absent Data", Variable_Battery_Available/(VLOOKUP("abl_act_xs",Classic_Scenarios_Measured[[Scenario]:[Posture Weighted Power &amp; Adders (W)]], 4, FALSE)*30%+G28*70%), "-NA-")</f>
        <v>-NA-</v>
      </c>
      <c r="H35" s="145"/>
      <c r="K35" s="84"/>
      <c r="L35" s="132" t="str">
        <f t="shared" si="5"/>
        <v>Not Required</v>
      </c>
      <c r="M35" s="87" t="s">
        <v>80</v>
      </c>
      <c r="N35" s="84" t="s">
        <v>43</v>
      </c>
      <c r="O35" s="155">
        <f t="shared" ca="1" si="0"/>
        <v>0</v>
      </c>
      <c r="P35" s="159">
        <v>0</v>
      </c>
      <c r="Q35" s="158" t="str">
        <f t="array" aca="1" ref="Q35" ca="1">IFERROR(OFFSET(INDIRECT("Power."&amp;M35&amp;"!A1"),MATCH("Total Power (W)",INDIRECT("Power."&amp;M35&amp;"!A:A"),0)-1,MATCH("Std Dev",INDIRECT("Power."&amp;M35&amp;"!1:1"),0)-1),"")</f>
        <v/>
      </c>
      <c r="R35" s="84"/>
      <c r="W35" s="84"/>
      <c r="X35" s="88">
        <f>COUNTIFS(Classic_Scenarios_Measured[Scenario Weight], "&gt;1%", Classic_Scenarios_Measured[Scenario], HOBL!M35)</f>
        <v>0</v>
      </c>
      <c r="Y35" s="88">
        <f ca="1">COUNTIFS(Classic_Scenarios_Measured[Scorecard (W)], "&gt;.001", Classic_Scenarios_Measured[Scenario], HOBL!M35)</f>
        <v>0</v>
      </c>
      <c r="Z35" s="88">
        <f t="shared" ca="1" si="1"/>
        <v>0</v>
      </c>
      <c r="AA35" s="84"/>
    </row>
    <row r="36" spans="2:27" ht="15.75" customHeight="1" x14ac:dyDescent="0.35">
      <c r="C36" s="201"/>
      <c r="D36" s="196"/>
      <c r="E36" s="196"/>
      <c r="F36" s="196"/>
      <c r="G36" s="146"/>
      <c r="H36" s="145"/>
      <c r="K36" s="84"/>
      <c r="L36" s="132" t="str">
        <f t="shared" si="5"/>
        <v>Not Required</v>
      </c>
      <c r="M36" s="133" t="s">
        <v>81</v>
      </c>
      <c r="N36" s="134" t="s">
        <v>43</v>
      </c>
      <c r="O36" s="156">
        <f t="shared" ca="1" si="0"/>
        <v>3</v>
      </c>
      <c r="P36" s="160">
        <v>3</v>
      </c>
      <c r="Q36" s="157" t="str">
        <f t="array" aca="1" ref="Q36" ca="1">IFERROR(OFFSET(INDIRECT("Power."&amp;M36&amp;"!A1"),MATCH("Total Power (W)",INDIRECT("Power."&amp;M36&amp;"!A:A"),0)-1,MATCH("Std Dev",INDIRECT("Power."&amp;M36&amp;"!1:1"),0)-1),"")</f>
        <v/>
      </c>
      <c r="R36" s="84"/>
      <c r="W36" s="84"/>
      <c r="X36" s="88">
        <f>COUNTIFS(Classic_Scenarios_Measured[Scenario Weight], "&gt;1%", Classic_Scenarios_Measured[Scenario], HOBL!M36)</f>
        <v>0</v>
      </c>
      <c r="Y36" s="88">
        <f ca="1">COUNTIFS(Classic_Scenarios_Measured[Scorecard (W)], "&gt;.001", Classic_Scenarios_Measured[Scenario], HOBL!M36)</f>
        <v>0</v>
      </c>
      <c r="Z36" s="88">
        <f t="shared" ca="1" si="1"/>
        <v>0</v>
      </c>
      <c r="AA36" s="84"/>
    </row>
    <row r="37" spans="2:27" ht="15.75" customHeight="1" x14ac:dyDescent="0.35">
      <c r="C37" s="202" t="s">
        <v>82</v>
      </c>
      <c r="D37" s="196"/>
      <c r="E37" s="196"/>
      <c r="F37" s="196"/>
      <c r="G37" s="142" t="str">
        <f ca="1">IF(L39&lt;&gt;"Absent Data", Variable_Battery_Available/VLOOKUP("abl_act_xs",Classic_Scenarios_Measured[[Scenario]:[Posture Weighted Power &amp; Adders (W)]], 4, FALSE),"-NA-")</f>
        <v>-NA-</v>
      </c>
      <c r="H37" s="145"/>
      <c r="K37" s="84"/>
      <c r="L37" s="132" t="str">
        <f t="shared" si="5"/>
        <v>Not Required</v>
      </c>
      <c r="M37" s="87" t="s">
        <v>83</v>
      </c>
      <c r="N37" s="84" t="s">
        <v>43</v>
      </c>
      <c r="O37" s="155">
        <f t="shared" ca="1" si="0"/>
        <v>3</v>
      </c>
      <c r="P37" s="159">
        <v>3</v>
      </c>
      <c r="Q37" s="158" t="str">
        <f t="array" aca="1" ref="Q37" ca="1">IFERROR(OFFSET(INDIRECT("Power."&amp;M37&amp;"!A1"),MATCH("Total Power (W)",INDIRECT("Power."&amp;M37&amp;"!A:A"),0)-1,MATCH("Std Dev",INDIRECT("Power."&amp;M37&amp;"!1:1"),0)-1),"")</f>
        <v/>
      </c>
      <c r="R37" s="84"/>
      <c r="W37" s="84"/>
      <c r="X37" s="88">
        <f>COUNTIFS(Classic_Scenarios_Measured[Scenario Weight], "&gt;1%", Classic_Scenarios_Measured[Scenario], HOBL!M37)</f>
        <v>0</v>
      </c>
      <c r="Y37" s="88">
        <f ca="1">COUNTIFS(Classic_Scenarios_Measured[Scorecard (W)], "&gt;.001", Classic_Scenarios_Measured[Scenario], HOBL!M37)</f>
        <v>0</v>
      </c>
      <c r="Z37" s="88">
        <f t="shared" ca="1" si="1"/>
        <v>0</v>
      </c>
      <c r="AA37" s="84"/>
    </row>
    <row r="38" spans="2:27" ht="15.75" customHeight="1" x14ac:dyDescent="0.35">
      <c r="C38" s="201" t="s">
        <v>84</v>
      </c>
      <c r="D38" s="196"/>
      <c r="E38" s="196"/>
      <c r="F38" s="196"/>
      <c r="G38" s="142" t="str">
        <f ca="1">IFERROR(Variable_Battery_Available/VLOOKUP("local_audio_0s",Classic_Scenarios_Measured[[Scenario]:[Posture Weighted Power &amp; Adders (W)]], 4, FALSE), "-NA-")</f>
        <v>-NA-</v>
      </c>
      <c r="H38" s="145"/>
      <c r="K38" s="84"/>
      <c r="L38" s="132" t="str">
        <f t="shared" si="5"/>
        <v>Not Required</v>
      </c>
      <c r="M38" s="133" t="s">
        <v>85</v>
      </c>
      <c r="N38" s="134" t="s">
        <v>43</v>
      </c>
      <c r="O38" s="156">
        <f t="shared" ca="1" si="0"/>
        <v>0</v>
      </c>
      <c r="P38" s="160">
        <v>0</v>
      </c>
      <c r="Q38" s="157" t="str">
        <f t="array" aca="1" ref="Q38" ca="1">IFERROR(OFFSET(INDIRECT("Power."&amp;M38&amp;"!A1"),MATCH("Total Power (W)",INDIRECT("Power."&amp;M38&amp;"!A:A"),0)-1,MATCH("Std Dev",INDIRECT("Power."&amp;M38&amp;"!1:1"),0)-1),"")</f>
        <v/>
      </c>
      <c r="R38" s="84"/>
      <c r="W38" s="84"/>
      <c r="X38" s="88">
        <f>COUNTIFS(Classic_Scenarios_Measured[Scenario Weight], "&gt;1%", Classic_Scenarios_Measured[Scenario], HOBL!M38)</f>
        <v>0</v>
      </c>
      <c r="Y38" s="88">
        <f ca="1">COUNTIFS(Classic_Scenarios_Measured[Scorecard (W)], "&gt;.001", Classic_Scenarios_Measured[Scenario], HOBL!M38)</f>
        <v>0</v>
      </c>
      <c r="Z38" s="88">
        <f t="shared" ca="1" si="1"/>
        <v>0</v>
      </c>
      <c r="AA38" s="84"/>
    </row>
    <row r="39" spans="2:27" ht="15.65" customHeight="1" thickBot="1" x14ac:dyDescent="0.4">
      <c r="C39" s="203" t="s">
        <v>86</v>
      </c>
      <c r="D39" s="189"/>
      <c r="E39" s="189"/>
      <c r="F39" s="189"/>
      <c r="G39" s="147" t="str">
        <f ca="1">IFERROR(Variable_Battery_Available/VLOOKUP("local_video_1s",Classic_Scenarios_Measured[[Scenario]:[Posture Weighted Power &amp; Adders (W)]], 4, FALSE), "-NA-")</f>
        <v>-NA-</v>
      </c>
      <c r="H39" s="148"/>
      <c r="K39" s="84"/>
      <c r="L39" s="132" t="str">
        <f t="shared" ca="1" si="5"/>
        <v>Absent Data</v>
      </c>
      <c r="M39" s="87" t="s">
        <v>140</v>
      </c>
      <c r="N39" s="84" t="s">
        <v>88</v>
      </c>
      <c r="O39" s="155">
        <f t="shared" ca="1" si="0"/>
        <v>5</v>
      </c>
      <c r="P39" s="159">
        <v>5</v>
      </c>
      <c r="Q39" s="158" t="str">
        <f t="array" aca="1" ref="Q39" ca="1">IFERROR(OFFSET(INDIRECT("Power."&amp;M39&amp;"!A1"),MATCH("Total Power (W)",INDIRECT("Power."&amp;M39&amp;"!A:A"),0)-1,MATCH("Std Dev",INDIRECT("Power."&amp;M39&amp;"!1:1"),0)-1),"")</f>
        <v/>
      </c>
      <c r="R39" s="84"/>
      <c r="W39" s="84"/>
      <c r="X39" s="88">
        <f>COUNTIFS(Classic_Scenarios_Measured[Scenario Weight], "&gt;1%", Classic_Scenarios_Measured[Scenario], HOBL!M39)</f>
        <v>1</v>
      </c>
      <c r="Y39" s="88">
        <f ca="1">COUNTIFS(Classic_Scenarios_Measured[Scorecard (W)], "&gt;.001", Classic_Scenarios_Measured[Scenario], HOBL!M39)</f>
        <v>0</v>
      </c>
      <c r="Z39" s="88">
        <f t="shared" ca="1" si="1"/>
        <v>0</v>
      </c>
      <c r="AA39" s="84"/>
    </row>
    <row r="40" spans="2:27" x14ac:dyDescent="0.35">
      <c r="K40" s="84"/>
      <c r="L40" s="84"/>
      <c r="M40" s="87"/>
      <c r="N40" s="84"/>
      <c r="O40" s="84"/>
      <c r="P40" s="84"/>
      <c r="Q40" s="84"/>
      <c r="R40" s="84"/>
      <c r="W40" s="84"/>
      <c r="X40" s="84"/>
      <c r="Y40" s="87"/>
      <c r="Z40" s="87"/>
      <c r="AA40" s="84"/>
    </row>
    <row r="41" spans="2:27" x14ac:dyDescent="0.35">
      <c r="N41" s="3"/>
      <c r="O41" s="3"/>
      <c r="Q41" s="3"/>
    </row>
    <row r="42" spans="2:27" x14ac:dyDescent="0.35">
      <c r="B42" s="85"/>
      <c r="P42" s="3"/>
    </row>
    <row r="43" spans="2:27" x14ac:dyDescent="0.35">
      <c r="P43" s="3"/>
    </row>
    <row r="44" spans="2:27" ht="15" customHeight="1" x14ac:dyDescent="0.35">
      <c r="P44" s="3"/>
    </row>
    <row r="45" spans="2:27" ht="15" customHeight="1" x14ac:dyDescent="0.35">
      <c r="P45" s="3"/>
    </row>
    <row r="46" spans="2:27" x14ac:dyDescent="0.35">
      <c r="P46" s="3"/>
    </row>
    <row r="47" spans="2:27" x14ac:dyDescent="0.35">
      <c r="P47" s="3"/>
    </row>
    <row r="48" spans="2:27" x14ac:dyDescent="0.35">
      <c r="P48" s="3"/>
    </row>
    <row r="50" spans="3:16" x14ac:dyDescent="0.35">
      <c r="C50" s="9"/>
    </row>
    <row r="51" spans="3:16" ht="15" customHeight="1" thickBot="1" x14ac:dyDescent="0.4">
      <c r="C51" s="9"/>
    </row>
    <row r="52" spans="3:16" x14ac:dyDescent="0.35">
      <c r="C52" s="9"/>
      <c r="F52" s="9"/>
      <c r="I52" s="16" t="s">
        <v>89</v>
      </c>
      <c r="J52" s="17" t="s">
        <v>90</v>
      </c>
      <c r="K52" s="17" t="s">
        <v>91</v>
      </c>
      <c r="L52" s="18" t="s">
        <v>92</v>
      </c>
      <c r="M52" s="17" t="s">
        <v>93</v>
      </c>
      <c r="N52" s="18" t="s">
        <v>94</v>
      </c>
      <c r="O52" s="18" t="s">
        <v>95</v>
      </c>
      <c r="P52" s="19" t="s">
        <v>96</v>
      </c>
    </row>
    <row r="53" spans="3:16" x14ac:dyDescent="0.35">
      <c r="C53" s="9"/>
      <c r="F53" s="9"/>
      <c r="I53" s="20" t="str">
        <f t="shared" ref="I53:I81" si="6">SUBSTITUTE(SUBSTITUTE(SUBSTITUTE(J53, "LKG_20", ""), "_CUS", ""), "_test_perf", "")</f>
        <v/>
      </c>
      <c r="K53" s="22"/>
      <c r="L53" s="22"/>
      <c r="M53" s="22"/>
      <c r="N53" s="22"/>
      <c r="O53" s="22"/>
      <c r="P53" s="23"/>
    </row>
    <row r="54" spans="3:16" x14ac:dyDescent="0.35">
      <c r="C54" s="9"/>
      <c r="F54" s="9"/>
      <c r="I54" s="20" t="str">
        <f t="shared" si="6"/>
        <v/>
      </c>
      <c r="K54" s="22"/>
      <c r="L54" s="22"/>
      <c r="M54" s="22"/>
      <c r="N54" s="22"/>
      <c r="O54" s="22"/>
      <c r="P54" s="23"/>
    </row>
    <row r="55" spans="3:16" x14ac:dyDescent="0.35">
      <c r="C55" s="9"/>
      <c r="F55" s="9"/>
      <c r="H55" s="9"/>
      <c r="I55" s="20" t="str">
        <f t="shared" si="6"/>
        <v/>
      </c>
      <c r="K55" s="22"/>
      <c r="L55" s="22"/>
      <c r="M55" s="22"/>
      <c r="N55" s="22"/>
      <c r="O55" s="22"/>
      <c r="P55" s="23"/>
    </row>
    <row r="56" spans="3:16" x14ac:dyDescent="0.35">
      <c r="F56" s="9"/>
      <c r="H56" s="9"/>
      <c r="I56" s="20" t="str">
        <f t="shared" si="6"/>
        <v/>
      </c>
      <c r="K56" s="22"/>
      <c r="L56" s="22"/>
      <c r="M56" s="22"/>
      <c r="N56" s="22"/>
      <c r="O56" s="22"/>
      <c r="P56" s="23"/>
    </row>
    <row r="57" spans="3:16" x14ac:dyDescent="0.35">
      <c r="C57" s="9"/>
      <c r="D57" s="86"/>
      <c r="F57" s="9"/>
      <c r="H57" s="9"/>
      <c r="I57" s="20" t="str">
        <f t="shared" si="6"/>
        <v/>
      </c>
      <c r="K57" s="22"/>
      <c r="L57" s="22"/>
      <c r="M57" s="22"/>
      <c r="N57" s="22"/>
      <c r="O57" s="22"/>
      <c r="P57" s="23"/>
    </row>
    <row r="58" spans="3:16" x14ac:dyDescent="0.35">
      <c r="C58" s="9"/>
      <c r="D58" s="86"/>
      <c r="F58" s="9"/>
      <c r="H58" s="9"/>
      <c r="I58" s="20" t="str">
        <f t="shared" si="6"/>
        <v/>
      </c>
      <c r="K58" s="22"/>
      <c r="L58" s="22"/>
      <c r="M58" s="22"/>
      <c r="N58" s="22"/>
      <c r="O58" s="22"/>
      <c r="P58" s="23"/>
    </row>
    <row r="59" spans="3:16" x14ac:dyDescent="0.35">
      <c r="C59" s="9"/>
      <c r="D59" s="86"/>
      <c r="F59" s="9"/>
      <c r="H59" s="9"/>
      <c r="I59" s="20" t="str">
        <f t="shared" si="6"/>
        <v/>
      </c>
      <c r="K59" s="22"/>
      <c r="L59" s="22"/>
      <c r="M59" s="22"/>
      <c r="N59" s="22"/>
      <c r="O59" s="22"/>
      <c r="P59" s="23"/>
    </row>
    <row r="60" spans="3:16" x14ac:dyDescent="0.35">
      <c r="C60" s="9"/>
      <c r="D60" s="86"/>
      <c r="F60" s="9"/>
      <c r="H60" s="9"/>
      <c r="I60" s="20" t="str">
        <f t="shared" si="6"/>
        <v/>
      </c>
      <c r="K60" s="22"/>
      <c r="L60" s="22"/>
      <c r="M60" s="22"/>
      <c r="N60" s="22"/>
      <c r="O60" s="22"/>
      <c r="P60" s="23"/>
    </row>
    <row r="61" spans="3:16" x14ac:dyDescent="0.35">
      <c r="C61" s="9"/>
      <c r="D61" s="86"/>
      <c r="F61" s="9"/>
      <c r="H61" s="9"/>
      <c r="I61" s="20" t="str">
        <f t="shared" si="6"/>
        <v/>
      </c>
      <c r="K61" s="22"/>
      <c r="L61" s="22"/>
      <c r="M61" s="22"/>
      <c r="N61" s="22"/>
      <c r="O61" s="22"/>
      <c r="P61" s="23"/>
    </row>
    <row r="62" spans="3:16" x14ac:dyDescent="0.35">
      <c r="C62" s="9"/>
      <c r="D62" s="86"/>
      <c r="F62" s="9"/>
      <c r="H62" s="9"/>
      <c r="I62" s="20" t="str">
        <f t="shared" si="6"/>
        <v/>
      </c>
      <c r="K62" s="22"/>
      <c r="L62" s="22"/>
      <c r="M62" s="22"/>
      <c r="N62" s="22"/>
      <c r="O62" s="22"/>
      <c r="P62" s="23"/>
    </row>
    <row r="63" spans="3:16" x14ac:dyDescent="0.35">
      <c r="C63" s="9"/>
      <c r="D63" s="86"/>
      <c r="F63" s="9"/>
      <c r="H63" s="9"/>
      <c r="I63" s="20" t="str">
        <f t="shared" si="6"/>
        <v/>
      </c>
      <c r="K63" s="22"/>
      <c r="L63" s="22"/>
      <c r="M63" s="22"/>
      <c r="N63" s="22"/>
      <c r="O63" s="22"/>
      <c r="P63" s="23"/>
    </row>
    <row r="64" spans="3:16" x14ac:dyDescent="0.35">
      <c r="C64" s="9"/>
      <c r="D64" s="86"/>
      <c r="F64" s="9"/>
      <c r="H64" s="9"/>
      <c r="I64" s="20" t="str">
        <f t="shared" si="6"/>
        <v/>
      </c>
      <c r="K64" s="22"/>
      <c r="L64" s="22"/>
      <c r="M64" s="22"/>
      <c r="N64" s="22"/>
      <c r="O64" s="22"/>
      <c r="P64" s="23"/>
    </row>
    <row r="65" spans="3:16" x14ac:dyDescent="0.35">
      <c r="C65" s="9"/>
      <c r="D65" s="86"/>
      <c r="F65" s="9"/>
      <c r="H65" s="9"/>
      <c r="I65" s="20" t="str">
        <f t="shared" si="6"/>
        <v/>
      </c>
      <c r="K65" s="22"/>
      <c r="L65" s="22"/>
      <c r="M65" s="22"/>
      <c r="N65" s="22"/>
      <c r="O65" s="22"/>
      <c r="P65" s="23"/>
    </row>
    <row r="66" spans="3:16" x14ac:dyDescent="0.35">
      <c r="C66" s="9"/>
      <c r="D66" s="86"/>
      <c r="F66" s="9"/>
      <c r="H66" s="9"/>
      <c r="I66" s="20" t="str">
        <f t="shared" si="6"/>
        <v/>
      </c>
      <c r="K66" s="22"/>
      <c r="L66" s="22"/>
      <c r="M66" s="22"/>
      <c r="N66" s="22"/>
      <c r="O66" s="22"/>
      <c r="P66" s="23"/>
    </row>
    <row r="67" spans="3:16" x14ac:dyDescent="0.35">
      <c r="C67" s="9"/>
      <c r="D67" s="86"/>
      <c r="F67" s="9"/>
      <c r="H67" s="9"/>
      <c r="I67" s="20" t="str">
        <f t="shared" si="6"/>
        <v/>
      </c>
      <c r="K67" s="22"/>
      <c r="L67" s="22"/>
      <c r="M67" s="22"/>
      <c r="N67" s="22"/>
      <c r="O67" s="22"/>
      <c r="P67" s="23"/>
    </row>
    <row r="68" spans="3:16" x14ac:dyDescent="0.35">
      <c r="C68" s="9"/>
      <c r="D68" s="86"/>
      <c r="F68" s="9"/>
      <c r="H68" s="9"/>
      <c r="I68" s="20" t="str">
        <f t="shared" si="6"/>
        <v/>
      </c>
      <c r="K68" s="22"/>
      <c r="L68" s="22"/>
      <c r="M68" s="22"/>
      <c r="N68" s="22"/>
      <c r="O68" s="22"/>
      <c r="P68" s="23"/>
    </row>
    <row r="69" spans="3:16" x14ac:dyDescent="0.35">
      <c r="C69" s="9"/>
      <c r="D69" s="86"/>
      <c r="F69" s="9"/>
      <c r="H69" s="9"/>
      <c r="I69" s="20" t="str">
        <f t="shared" si="6"/>
        <v/>
      </c>
      <c r="K69" s="22"/>
      <c r="L69" s="22"/>
      <c r="M69" s="22"/>
      <c r="N69" s="22"/>
      <c r="O69" s="22"/>
      <c r="P69" s="23"/>
    </row>
    <row r="70" spans="3:16" x14ac:dyDescent="0.35">
      <c r="C70" s="9"/>
      <c r="D70" s="86"/>
      <c r="F70" s="9"/>
      <c r="H70" s="9"/>
      <c r="I70" s="20" t="str">
        <f t="shared" si="6"/>
        <v/>
      </c>
      <c r="K70" s="22"/>
      <c r="L70" s="22"/>
      <c r="M70" s="22"/>
      <c r="N70" s="22"/>
      <c r="O70" s="22"/>
      <c r="P70" s="23"/>
    </row>
    <row r="71" spans="3:16" x14ac:dyDescent="0.35">
      <c r="C71" s="9"/>
      <c r="D71" s="86"/>
      <c r="F71" s="9"/>
      <c r="H71" s="9"/>
      <c r="I71" s="20" t="str">
        <f t="shared" si="6"/>
        <v/>
      </c>
      <c r="K71" s="22"/>
      <c r="L71" s="22"/>
      <c r="M71" s="22"/>
      <c r="N71" s="22"/>
      <c r="O71" s="22"/>
      <c r="P71" s="23"/>
    </row>
    <row r="72" spans="3:16" x14ac:dyDescent="0.35">
      <c r="C72" s="9"/>
      <c r="D72" s="86"/>
      <c r="F72" s="9"/>
      <c r="H72" s="9"/>
      <c r="I72" s="20" t="str">
        <f t="shared" si="6"/>
        <v/>
      </c>
      <c r="K72" s="22"/>
      <c r="L72" s="22"/>
      <c r="M72" s="22"/>
      <c r="N72" s="22"/>
      <c r="O72" s="22"/>
      <c r="P72" s="23"/>
    </row>
    <row r="73" spans="3:16" x14ac:dyDescent="0.35">
      <c r="C73" s="9"/>
      <c r="D73" s="86"/>
      <c r="F73" s="9"/>
      <c r="H73" s="9"/>
      <c r="I73" s="20" t="str">
        <f t="shared" si="6"/>
        <v/>
      </c>
      <c r="K73" s="22"/>
      <c r="L73" s="22"/>
      <c r="M73" s="22"/>
      <c r="N73" s="22"/>
      <c r="O73" s="22"/>
      <c r="P73" s="23"/>
    </row>
    <row r="74" spans="3:16" x14ac:dyDescent="0.35">
      <c r="C74" s="9"/>
      <c r="D74" s="86"/>
      <c r="F74" s="9"/>
      <c r="H74" s="9"/>
      <c r="I74" s="20" t="str">
        <f t="shared" si="6"/>
        <v/>
      </c>
      <c r="K74" s="22"/>
      <c r="L74" s="22"/>
      <c r="M74" s="22"/>
      <c r="N74" s="22"/>
      <c r="O74" s="22"/>
      <c r="P74" s="23"/>
    </row>
    <row r="75" spans="3:16" x14ac:dyDescent="0.35">
      <c r="C75" s="9"/>
      <c r="D75" s="86"/>
      <c r="F75" s="9"/>
      <c r="H75" s="9"/>
      <c r="I75" s="20" t="str">
        <f t="shared" si="6"/>
        <v/>
      </c>
      <c r="K75" s="22"/>
      <c r="L75" s="22"/>
      <c r="M75" s="22"/>
      <c r="N75" s="22"/>
      <c r="O75" s="22"/>
      <c r="P75" s="23"/>
    </row>
    <row r="76" spans="3:16" x14ac:dyDescent="0.35">
      <c r="C76" s="9"/>
      <c r="F76" s="9"/>
      <c r="H76" s="9"/>
      <c r="I76" s="20" t="str">
        <f t="shared" si="6"/>
        <v/>
      </c>
      <c r="K76" s="22"/>
      <c r="L76" s="22"/>
      <c r="M76" s="22"/>
      <c r="N76" s="22"/>
      <c r="O76" s="22"/>
      <c r="P76" s="23"/>
    </row>
    <row r="77" spans="3:16" x14ac:dyDescent="0.35">
      <c r="C77" s="9"/>
      <c r="E77" s="9"/>
      <c r="F77" s="9"/>
      <c r="H77" s="9"/>
      <c r="I77" s="20" t="str">
        <f t="shared" si="6"/>
        <v/>
      </c>
      <c r="K77" s="22"/>
      <c r="L77" s="22"/>
      <c r="M77" s="22"/>
      <c r="N77" s="22"/>
      <c r="O77" s="22"/>
      <c r="P77" s="23"/>
    </row>
    <row r="78" spans="3:16" x14ac:dyDescent="0.35">
      <c r="C78" s="9"/>
      <c r="F78" s="9"/>
      <c r="H78" s="9"/>
      <c r="I78" s="20" t="str">
        <f t="shared" si="6"/>
        <v/>
      </c>
      <c r="K78" s="22"/>
      <c r="L78" s="22"/>
      <c r="M78" s="22"/>
      <c r="N78" s="22"/>
      <c r="O78" s="22"/>
      <c r="P78" s="23"/>
    </row>
    <row r="79" spans="3:16" x14ac:dyDescent="0.35">
      <c r="C79" s="9"/>
      <c r="F79" s="9"/>
      <c r="H79" s="9"/>
      <c r="I79" s="20" t="str">
        <f t="shared" si="6"/>
        <v/>
      </c>
      <c r="K79" s="22"/>
      <c r="L79" s="22"/>
      <c r="M79" s="22"/>
      <c r="N79" s="22"/>
      <c r="O79" s="22"/>
      <c r="P79" s="23"/>
    </row>
    <row r="80" spans="3:16" x14ac:dyDescent="0.35">
      <c r="C80" s="9"/>
      <c r="F80" s="9"/>
      <c r="H80" s="9"/>
      <c r="I80" s="20" t="str">
        <f t="shared" si="6"/>
        <v/>
      </c>
      <c r="K80" s="9"/>
      <c r="L80" s="22"/>
      <c r="M80" s="9"/>
      <c r="N80" s="22"/>
      <c r="O80" s="22"/>
      <c r="P80" s="23"/>
    </row>
    <row r="81" spans="3:17" ht="15" customHeight="1" thickBot="1" x14ac:dyDescent="0.4">
      <c r="C81" s="9"/>
      <c r="F81" s="9"/>
      <c r="H81" s="9"/>
      <c r="I81" s="21" t="str">
        <f t="shared" si="6"/>
        <v/>
      </c>
      <c r="J81" s="15"/>
      <c r="K81" s="15"/>
      <c r="L81" s="24"/>
      <c r="M81" s="15"/>
      <c r="N81" s="24"/>
      <c r="O81" s="15"/>
      <c r="P81" s="25"/>
    </row>
    <row r="82" spans="3:17" x14ac:dyDescent="0.35">
      <c r="C82" s="9"/>
      <c r="F82" s="9"/>
    </row>
    <row r="83" spans="3:17" x14ac:dyDescent="0.35">
      <c r="C83" s="9"/>
      <c r="F83" s="9"/>
    </row>
    <row r="84" spans="3:17" x14ac:dyDescent="0.35">
      <c r="C84" s="9"/>
      <c r="F84" s="9"/>
    </row>
    <row r="85" spans="3:17" x14ac:dyDescent="0.35">
      <c r="C85" s="9"/>
      <c r="F85" s="9"/>
    </row>
    <row r="86" spans="3:17" x14ac:dyDescent="0.35">
      <c r="C86" s="9"/>
      <c r="F86" s="9"/>
    </row>
    <row r="87" spans="3:17" x14ac:dyDescent="0.35">
      <c r="C87" s="9"/>
      <c r="F87" s="9"/>
    </row>
    <row r="88" spans="3:17" x14ac:dyDescent="0.35">
      <c r="C88" s="9"/>
      <c r="F88" s="9"/>
    </row>
    <row r="89" spans="3:17" x14ac:dyDescent="0.35">
      <c r="I89" s="22"/>
    </row>
    <row r="90" spans="3:17" x14ac:dyDescent="0.35">
      <c r="I90" s="22"/>
    </row>
    <row r="91" spans="3:17" x14ac:dyDescent="0.35">
      <c r="C91" s="2"/>
      <c r="D91" s="22"/>
      <c r="E91" s="22"/>
      <c r="F91" s="22"/>
      <c r="G91" s="22"/>
      <c r="I91" s="22"/>
    </row>
    <row r="92" spans="3:17" x14ac:dyDescent="0.35">
      <c r="C92" s="9"/>
      <c r="D92" s="9"/>
      <c r="E92" s="9"/>
      <c r="F92" s="9"/>
      <c r="H92" s="22"/>
      <c r="I92" s="9"/>
      <c r="J92" s="9"/>
    </row>
    <row r="93" spans="3:17" x14ac:dyDescent="0.35">
      <c r="C93" s="9"/>
      <c r="D93" s="9"/>
      <c r="E93" s="9"/>
      <c r="F93" s="9"/>
      <c r="H93" s="9"/>
      <c r="I93" s="9"/>
      <c r="J93" s="9"/>
      <c r="Q93" s="9"/>
    </row>
    <row r="94" spans="3:17" x14ac:dyDescent="0.35">
      <c r="H94" s="9"/>
      <c r="Q94" s="9"/>
    </row>
    <row r="95" spans="3:17" x14ac:dyDescent="0.35">
      <c r="Q95" s="9"/>
    </row>
    <row r="96" spans="3:17" x14ac:dyDescent="0.35">
      <c r="Q96" s="9"/>
    </row>
    <row r="97" spans="17:17" x14ac:dyDescent="0.35">
      <c r="Q97" s="9"/>
    </row>
    <row r="98" spans="17:17" x14ac:dyDescent="0.35">
      <c r="Q98" s="9"/>
    </row>
  </sheetData>
  <mergeCells count="23">
    <mergeCell ref="C35:F35"/>
    <mergeCell ref="C37:F37"/>
    <mergeCell ref="C38:F38"/>
    <mergeCell ref="C39:F39"/>
    <mergeCell ref="C29:F29"/>
    <mergeCell ref="C30:F30"/>
    <mergeCell ref="C31:F31"/>
    <mergeCell ref="C32:F32"/>
    <mergeCell ref="C33:F33"/>
    <mergeCell ref="C34:F34"/>
    <mergeCell ref="C36:F36"/>
    <mergeCell ref="C28:F28"/>
    <mergeCell ref="E3:F3"/>
    <mergeCell ref="G3:H3"/>
    <mergeCell ref="C20:F20"/>
    <mergeCell ref="C21:F21"/>
    <mergeCell ref="C22:F22"/>
    <mergeCell ref="C23:F23"/>
    <mergeCell ref="C24:F24"/>
    <mergeCell ref="C25:F25"/>
    <mergeCell ref="C26:F26"/>
    <mergeCell ref="C27:F27"/>
    <mergeCell ref="C19:F19"/>
  </mergeCells>
  <conditionalFormatting sqref="L7:L39">
    <cfRule type="expression" dxfId="28" priority="8">
      <formula>IF($L7="Present", 1, 0)</formula>
    </cfRule>
    <cfRule type="expression" dxfId="27" priority="9">
      <formula>IF($L7="Absent Data", 1, 0)</formula>
    </cfRule>
  </conditionalFormatting>
  <conditionalFormatting sqref="L7:O39">
    <cfRule type="expression" dxfId="26" priority="3">
      <formula>IF($L7="Not Required", 1, 0)</formula>
    </cfRule>
  </conditionalFormatting>
  <conditionalFormatting sqref="O7:O39">
    <cfRule type="expression" dxfId="25" priority="2">
      <formula>IF($O7&gt;0, 1, 0)</formula>
    </cfRule>
  </conditionalFormatting>
  <conditionalFormatting sqref="P7:Q39">
    <cfRule type="expression" dxfId="24" priority="1">
      <formula>IF($L7="Not Required", 1, 0)</formula>
    </cfRule>
  </conditionalFormatting>
  <hyperlinks>
    <hyperlink ref="A3" location="Scorecard!A1" display="Scorecard" xr:uid="{00000000-0004-0000-0000-000000000000}"/>
  </hyperlinks>
  <pageMargins left="0.7" right="0.7" top="0.75" bottom="0.75" header="0.3" footer="0.3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tabColor rgb="FFFFC000"/>
  </sheetPr>
  <dimension ref="A1:O115"/>
  <sheetViews>
    <sheetView zoomScale="70" zoomScaleNormal="70" workbookViewId="0">
      <selection activeCell="D35" sqref="D35"/>
    </sheetView>
  </sheetViews>
  <sheetFormatPr defaultColWidth="8.81640625" defaultRowHeight="14.5" x14ac:dyDescent="0.35"/>
  <cols>
    <col min="1" max="1" width="16.1796875" style="11" bestFit="1" customWidth="1"/>
    <col min="2" max="2" width="28.81640625" style="11" bestFit="1" customWidth="1"/>
    <col min="3" max="3" width="21.1796875" style="52" customWidth="1"/>
    <col min="4" max="4" width="35.1796875" style="52" customWidth="1"/>
    <col min="5" max="5" width="20.1796875" style="11" customWidth="1"/>
    <col min="6" max="6" width="26.81640625" style="11" bestFit="1" customWidth="1"/>
    <col min="7" max="8" width="16.1796875" style="11" customWidth="1"/>
    <col min="9" max="9" width="22" style="11" bestFit="1" customWidth="1"/>
    <col min="10" max="10" width="20.81640625" style="11" bestFit="1" customWidth="1"/>
    <col min="11" max="11" width="21.81640625" style="11" customWidth="1"/>
    <col min="12" max="12" width="14" style="11" customWidth="1"/>
    <col min="13" max="14" width="10" style="11" customWidth="1"/>
    <col min="15" max="16" width="8.81640625" style="11" customWidth="1"/>
    <col min="17" max="16384" width="8.81640625" style="11"/>
  </cols>
  <sheetData>
    <row r="1" spans="1:6" x14ac:dyDescent="0.35">
      <c r="F1" s="52"/>
    </row>
    <row r="2" spans="1:6" ht="14.75" customHeight="1" x14ac:dyDescent="0.35">
      <c r="A2" s="50" t="s">
        <v>97</v>
      </c>
      <c r="B2" s="51" t="s">
        <v>98</v>
      </c>
      <c r="C2" s="51" t="s">
        <v>98</v>
      </c>
      <c r="F2" s="52"/>
    </row>
    <row r="3" spans="1:6" ht="15" customHeight="1" x14ac:dyDescent="0.35">
      <c r="A3" s="49" t="s">
        <v>99</v>
      </c>
      <c r="B3" s="49" t="s">
        <v>100</v>
      </c>
      <c r="C3" s="49" t="s">
        <v>101</v>
      </c>
      <c r="D3" s="70" t="s">
        <v>102</v>
      </c>
      <c r="E3" s="71" t="s">
        <v>103</v>
      </c>
    </row>
    <row r="4" spans="1:6" ht="15" customHeight="1" x14ac:dyDescent="0.35">
      <c r="A4" t="s">
        <v>28</v>
      </c>
      <c r="B4" s="62">
        <v>7.4999999999999997E-2</v>
      </c>
      <c r="C4" s="61">
        <f>18*Classic_Categories_Measured[[#This Row],[Category Weight]]</f>
        <v>1.3499999999999999</v>
      </c>
      <c r="D4" s="61">
        <f t="array" aca="1" ref="D4" ca="1">SUMPRODUCT((Classic_Scenarios_Measured[Scenario Weight]*Classic_Scenarios_Measured[Posture Weighted Power &amp; Adders (W)])*(Classic_Scenarios_Measured[Category]=Classic_Categories_Measured[[#This Row],[Categories]]))</f>
        <v>0</v>
      </c>
      <c r="E4" s="73">
        <f ca="1">Classic_Categories_Measured[[#This Row],[Category Power (W)]]*Classic_Categories_Measured[[#This Row],[Category Weight]]</f>
        <v>0</v>
      </c>
    </row>
    <row r="5" spans="1:6" ht="15" customHeight="1" x14ac:dyDescent="0.35">
      <c r="A5" s="11" t="s">
        <v>30</v>
      </c>
      <c r="B5" s="72">
        <v>4.4999999999999998E-2</v>
      </c>
      <c r="C5" s="61">
        <f>18*Classic_Categories_Measured[[#This Row],[Category Weight]]</f>
        <v>0.80999999999999994</v>
      </c>
      <c r="D5" s="61">
        <f t="array" aca="1" ref="D5" ca="1">SUMPRODUCT((Classic_Scenarios_Measured[Scenario Weight]*Classic_Scenarios_Measured[Posture Weighted Power &amp; Adders (W)])*(Classic_Scenarios_Measured[Category]=Classic_Categories_Measured[[#This Row],[Categories]]))</f>
        <v>0</v>
      </c>
      <c r="E5" s="73">
        <f ca="1">Classic_Categories_Measured[[#This Row],[Category Power (W)]]*Classic_Categories_Measured[[#This Row],[Category Weight]]</f>
        <v>0</v>
      </c>
    </row>
    <row r="6" spans="1:6" ht="15" customHeight="1" x14ac:dyDescent="0.35">
      <c r="A6" s="11" t="s">
        <v>32</v>
      </c>
      <c r="B6" s="72">
        <v>0.03</v>
      </c>
      <c r="C6" s="61">
        <f>18*Classic_Categories_Measured[[#This Row],[Category Weight]]</f>
        <v>0.54</v>
      </c>
      <c r="D6" s="61">
        <f t="array" aca="1" ref="D6" ca="1">SUMPRODUCT((Classic_Scenarios_Measured[Scenario Weight]*Classic_Scenarios_Measured[Posture Weighted Power &amp; Adders (W)])*(Classic_Scenarios_Measured[Category]=Classic_Categories_Measured[[#This Row],[Categories]]))</f>
        <v>0</v>
      </c>
      <c r="E6" s="73">
        <f ca="1">Classic_Categories_Measured[[#This Row],[Category Power (W)]]*Classic_Categories_Measured[[#This Row],[Category Weight]]</f>
        <v>0</v>
      </c>
    </row>
    <row r="7" spans="1:6" ht="15" customHeight="1" x14ac:dyDescent="0.35">
      <c r="A7" s="11" t="s">
        <v>34</v>
      </c>
      <c r="B7" s="72">
        <v>0.03</v>
      </c>
      <c r="C7" s="61">
        <f>18*Classic_Categories_Measured[[#This Row],[Category Weight]]</f>
        <v>0.54</v>
      </c>
      <c r="D7" s="61">
        <f t="array" aca="1" ref="D7" ca="1">SUMPRODUCT((Classic_Scenarios_Measured[Scenario Weight]*Classic_Scenarios_Measured[Posture Weighted Power &amp; Adders (W)])*(Classic_Scenarios_Measured[Category]=Classic_Categories_Measured[[#This Row],[Categories]]))</f>
        <v>0</v>
      </c>
      <c r="E7" s="73">
        <f ca="1">Classic_Categories_Measured[[#This Row],[Category Power (W)]]*Classic_Categories_Measured[[#This Row],[Category Weight]]</f>
        <v>0</v>
      </c>
    </row>
    <row r="8" spans="1:6" ht="15" customHeight="1" x14ac:dyDescent="0.35">
      <c r="A8" s="11" t="s">
        <v>36</v>
      </c>
      <c r="B8" s="72">
        <v>0.03</v>
      </c>
      <c r="C8" s="61">
        <f>18*Classic_Categories_Measured[[#This Row],[Category Weight]]</f>
        <v>0.54</v>
      </c>
      <c r="D8" s="61">
        <f t="array" aca="1" ref="D8" ca="1">SUMPRODUCT((Classic_Scenarios_Measured[Scenario Weight]*Classic_Scenarios_Measured[Posture Weighted Power &amp; Adders (W)])*(Classic_Scenarios_Measured[Category]=Classic_Categories_Measured[[#This Row],[Categories]]))</f>
        <v>0</v>
      </c>
      <c r="E8" s="73">
        <f ca="1">Classic_Categories_Measured[[#This Row],[Category Power (W)]]*Classic_Categories_Measured[[#This Row],[Category Weight]]</f>
        <v>0</v>
      </c>
    </row>
    <row r="9" spans="1:6" ht="15" customHeight="1" x14ac:dyDescent="0.35">
      <c r="A9" s="11" t="s">
        <v>27</v>
      </c>
      <c r="B9" s="62">
        <v>0.06</v>
      </c>
      <c r="C9" s="61">
        <f>18*Classic_Categories_Measured[[#This Row],[Category Weight]]</f>
        <v>1.08</v>
      </c>
      <c r="D9" s="61">
        <f t="array" aca="1" ref="D9" ca="1">SUMPRODUCT((Classic_Scenarios_Measured[Scenario Weight]*Classic_Scenarios_Measured[Posture Weighted Power &amp; Adders (W)])*(Classic_Scenarios_Measured[Category]=Classic_Categories_Measured[[#This Row],[Categories]]))</f>
        <v>0</v>
      </c>
      <c r="E9" s="73">
        <f ca="1">Classic_Categories_Measured[[#This Row],[Category Power (W)]]*Classic_Categories_Measured[[#This Row],[Category Weight]]</f>
        <v>0</v>
      </c>
    </row>
    <row r="10" spans="1:6" ht="15" customHeight="1" x14ac:dyDescent="0.35">
      <c r="A10" s="11" t="s">
        <v>40</v>
      </c>
      <c r="B10" s="62">
        <v>1.4999999999999999E-2</v>
      </c>
      <c r="C10" s="61">
        <f>18*Classic_Categories_Measured[[#This Row],[Category Weight]]</f>
        <v>0.27</v>
      </c>
      <c r="D10" s="61">
        <f t="array" aca="1" ref="D10" ca="1">SUMPRODUCT((Classic_Scenarios_Measured[Scenario Weight]*Classic_Scenarios_Measured[Posture Weighted Power &amp; Adders (W)])*(Classic_Scenarios_Measured[Category]=Classic_Categories_Measured[[#This Row],[Categories]]))</f>
        <v>0</v>
      </c>
      <c r="E10" s="73">
        <f ca="1">Classic_Categories_Measured[[#This Row],[Category Power (W)]]*Classic_Categories_Measured[[#This Row],[Category Weight]]</f>
        <v>0</v>
      </c>
    </row>
    <row r="11" spans="1:6" ht="15" customHeight="1" x14ac:dyDescent="0.35">
      <c r="A11" s="11" t="s">
        <v>38</v>
      </c>
      <c r="B11" s="72">
        <v>1.4999999999999999E-2</v>
      </c>
      <c r="C11" s="61">
        <f>18*Classic_Categories_Measured[[#This Row],[Category Weight]]</f>
        <v>0.27</v>
      </c>
      <c r="D11" s="61">
        <f t="array" aca="1" ref="D11" ca="1">SUMPRODUCT((Classic_Scenarios_Measured[Scenario Weight]*Classic_Scenarios_Measured[Posture Weighted Power &amp; Adders (W)])*(Classic_Scenarios_Measured[Category]=Classic_Categories_Measured[[#This Row],[Categories]]))</f>
        <v>0</v>
      </c>
      <c r="E11" s="73">
        <f ca="1">Classic_Categories_Measured[[#This Row],[Category Power (W)]]*Classic_Categories_Measured[[#This Row],[Category Weight]]</f>
        <v>0</v>
      </c>
    </row>
    <row r="12" spans="1:6" ht="15" customHeight="1" x14ac:dyDescent="0.35">
      <c r="A12" s="11" t="s">
        <v>43</v>
      </c>
      <c r="B12" s="72">
        <v>0</v>
      </c>
      <c r="C12" s="61">
        <f>18*Classic_Categories_Measured[[#This Row],[Category Weight]]</f>
        <v>0</v>
      </c>
      <c r="D12" s="61">
        <f t="array" aca="1" ref="D12" ca="1">SUMPRODUCT((Classic_Scenarios_Measured[Scenario Weight]*Classic_Scenarios_Measured[Posture Weighted Power &amp; Adders (W)])*(Classic_Scenarios_Measured[Category]=Classic_Categories_Measured[[#This Row],[Categories]]))</f>
        <v>0</v>
      </c>
      <c r="E12" s="73">
        <f ca="1">Classic_Categories_Measured[[#This Row],[Category Power (W)]]*Classic_Categories_Measured[[#This Row],[Category Weight]]</f>
        <v>0</v>
      </c>
    </row>
    <row r="13" spans="1:6" ht="15" customHeight="1" x14ac:dyDescent="0.35">
      <c r="A13" s="11" t="s">
        <v>16</v>
      </c>
      <c r="B13" s="72">
        <v>0.7</v>
      </c>
      <c r="C13" s="61">
        <f>18*Classic_Categories_Measured[[#This Row],[Category Weight]]</f>
        <v>12.6</v>
      </c>
      <c r="D13" s="61">
        <f t="array" aca="1" ref="D13" ca="1">SUMPRODUCT((Classic_Scenarios_Measured[Scenario Weight]*Classic_Scenarios_Measured[Posture Weighted Power &amp; Adders (W)])*(Classic_Scenarios_Measured[Category]=Classic_Categories_Measured[[#This Row],[Categories]]))</f>
        <v>0</v>
      </c>
      <c r="E13" s="73">
        <f ca="1">Classic_Categories_Measured[[#This Row],[Category Power (W)]]*Classic_Categories_Measured[[#This Row],[Category Weight]]</f>
        <v>0</v>
      </c>
    </row>
    <row r="14" spans="1:6" ht="15" customHeight="1" x14ac:dyDescent="0.35">
      <c r="A14" s="11" t="s">
        <v>88</v>
      </c>
      <c r="B14" s="62">
        <v>0</v>
      </c>
      <c r="C14" s="61">
        <f>18*Classic_Categories_Measured[[#This Row],[Category Weight]]</f>
        <v>0</v>
      </c>
      <c r="D14" s="61">
        <f t="array" aca="1" ref="D14" ca="1">SUMPRODUCT((Classic_Scenarios_Measured[Scenario Weight]*Classic_Scenarios_Measured[Posture Weighted Power &amp; Adders (W)])*(Classic_Scenarios_Measured[Category]=Classic_Categories_Measured[[#This Row],[Categories]]))</f>
        <v>0</v>
      </c>
      <c r="E14" s="73">
        <f ca="1">Classic_Categories_Measured[[#This Row],[Category Power (W)]]*Classic_Categories_Measured[[#This Row],[Category Weight]]</f>
        <v>0</v>
      </c>
    </row>
    <row r="15" spans="1:6" ht="15" customHeight="1" x14ac:dyDescent="0.35">
      <c r="A15" s="11" t="s">
        <v>104</v>
      </c>
      <c r="B15" s="62">
        <v>0</v>
      </c>
      <c r="C15" s="61">
        <f>18*Classic_Categories_Measured[[#This Row],[Category Weight]]</f>
        <v>0</v>
      </c>
      <c r="D15" s="61">
        <f t="array" aca="1" ref="D15" ca="1">SUMPRODUCT((Classic_Scenarios_Measured[Scenario Weight]*Classic_Scenarios_Measured[Posture Weighted Power &amp; Adders (W)])*(Classic_Scenarios_Measured[Category]=Classic_Categories_Measured[[#This Row],[Categories]]))</f>
        <v>0</v>
      </c>
      <c r="E15" s="73">
        <f ca="1">Classic_Categories_Measured[[#This Row],[Category Power (W)]]*Classic_Categories_Measured[[#This Row],[Category Weight]]</f>
        <v>0</v>
      </c>
    </row>
    <row r="16" spans="1:6" ht="15" customHeight="1" x14ac:dyDescent="0.35">
      <c r="A16" s="11" t="s">
        <v>105</v>
      </c>
      <c r="B16" s="62">
        <v>0</v>
      </c>
      <c r="C16" s="61">
        <f>18*Classic_Categories_Measured[[#This Row],[Category Weight]]</f>
        <v>0</v>
      </c>
      <c r="D16" s="61">
        <f t="array" aca="1" ref="D16" ca="1">SUMPRODUCT((Classic_Scenarios_Measured[Scenario Weight]*Classic_Scenarios_Measured[Posture Weighted Power &amp; Adders (W)])*(Classic_Scenarios_Measured[Category]=Classic_Categories_Measured[[#This Row],[Categories]]))</f>
        <v>0</v>
      </c>
      <c r="E16" s="73">
        <f ca="1">Classic_Categories_Measured[[#This Row],[Category Power (W)]]*Classic_Categories_Measured[[#This Row],[Category Weight]]</f>
        <v>0</v>
      </c>
    </row>
    <row r="17" spans="1:15" ht="15" customHeight="1" x14ac:dyDescent="0.35">
      <c r="C17" s="74">
        <f>SUBTOTAL(109,Classic_Categories_Measured[Usage Time (hrs)])</f>
        <v>18</v>
      </c>
      <c r="D17" s="9"/>
      <c r="E17" s="74">
        <f ca="1">SUBTOTAL(109,Classic_Categories_Measured[HoBL Power (W)])</f>
        <v>0</v>
      </c>
    </row>
    <row r="18" spans="1:15" ht="15" customHeight="1" x14ac:dyDescent="0.35"/>
    <row r="19" spans="1:15" ht="15" customHeight="1" thickBot="1" x14ac:dyDescent="0.4"/>
    <row r="20" spans="1:15" ht="15" customHeight="1" x14ac:dyDescent="0.35">
      <c r="A20" s="51" t="s">
        <v>98</v>
      </c>
      <c r="B20" s="51" t="s">
        <v>98</v>
      </c>
      <c r="C20" s="51" t="s">
        <v>98</v>
      </c>
      <c r="D20" s="50" t="s">
        <v>97</v>
      </c>
      <c r="E20" s="51" t="s">
        <v>98</v>
      </c>
      <c r="F20" s="51" t="s">
        <v>98</v>
      </c>
      <c r="G20" s="51" t="s">
        <v>98</v>
      </c>
      <c r="H20" s="51" t="s">
        <v>98</v>
      </c>
      <c r="I20" s="50" t="s">
        <v>97</v>
      </c>
      <c r="J20" s="51" t="s">
        <v>98</v>
      </c>
      <c r="K20" s="97" t="s">
        <v>98</v>
      </c>
    </row>
    <row r="21" spans="1:15" s="75" customFormat="1" ht="30" customHeight="1" x14ac:dyDescent="0.35">
      <c r="A21" s="76" t="s">
        <v>100</v>
      </c>
      <c r="B21" s="76" t="s">
        <v>106</v>
      </c>
      <c r="C21" s="75" t="s">
        <v>5</v>
      </c>
      <c r="D21" s="77" t="s">
        <v>18</v>
      </c>
      <c r="E21" s="75" t="s">
        <v>107</v>
      </c>
      <c r="F21" s="78" t="s">
        <v>108</v>
      </c>
      <c r="G21" s="56" t="s">
        <v>109</v>
      </c>
      <c r="H21" s="68" t="s">
        <v>110</v>
      </c>
      <c r="I21" s="68" t="s">
        <v>111</v>
      </c>
      <c r="J21" s="68" t="s">
        <v>112</v>
      </c>
      <c r="K21" s="98" t="s">
        <v>113</v>
      </c>
      <c r="O21" s="11"/>
    </row>
    <row r="22" spans="1:15" ht="15" customHeight="1" x14ac:dyDescent="0.35">
      <c r="A22" s="57">
        <f>IF(B22&lt;&gt;"",SUMIF(Classic_Scenarios_Measured[Category],Classic_Scenarios_Measured[[#This Row],[Category]],Classic_Scenarios_Measured[Scenario Weight]),"")</f>
        <v>1</v>
      </c>
      <c r="B22" s="57" t="str">
        <f t="shared" ref="B22:B48" si="0">IF(C22&lt;&gt;C21,C22,"")</f>
        <v>Social</v>
      </c>
      <c r="C22" s="54" t="s">
        <v>27</v>
      </c>
      <c r="D22" s="4" t="s">
        <v>26</v>
      </c>
      <c r="E22" s="58">
        <f>_xlfn.IFNA(VLOOKUP(Classic_Scenarios_Measured[[#This Row],[Category]],Classic_Categories_Measured[],2,FALSE),"")*Classic_Scenarios_Measured[[#This Row],[Scenario Weight]]</f>
        <v>0.03</v>
      </c>
      <c r="F22" s="59">
        <v>0.5</v>
      </c>
      <c r="G22" s="60">
        <f ca="1">SUM(Classic_Scenarios_Measured[[#This Row],[Adders (W)]], Classic_Scenarios_Measured[[#This Row],[Scorecard (W)]])</f>
        <v>0</v>
      </c>
      <c r="H22" s="79" t="str">
        <f ca="1">IF(Classic_Scenarios_Measured[[#This Row],[Scorecard (W)]]&lt;&gt;"", SUM(Classic_Scenarios_Measured[[#This Row],[Manual Adder (W)]:[Touch Adder (W)]]), "")</f>
        <v/>
      </c>
      <c r="I22" s="60"/>
      <c r="J22" s="60">
        <v>0.17849999999999999</v>
      </c>
      <c r="K22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23" spans="1:15" ht="15" customHeight="1" x14ac:dyDescent="0.35">
      <c r="A23" s="57" t="str">
        <f>IF(B23&lt;&gt;"",SUMIF(Classic_Scenarios_Measured[Category],Classic_Scenarios_Measured[[#This Row],[Category]],Classic_Scenarios_Measured[Scenario Weight]),"")</f>
        <v/>
      </c>
      <c r="B23" s="57" t="str">
        <f t="shared" si="0"/>
        <v/>
      </c>
      <c r="C23" s="54" t="s">
        <v>27</v>
      </c>
      <c r="D23" s="54" t="s">
        <v>29</v>
      </c>
      <c r="E23" s="58">
        <f>_xlfn.IFNA(VLOOKUP(Classic_Scenarios_Measured[[#This Row],[Category]],Classic_Categories_Measured[],2,FALSE),"")*Classic_Scenarios_Measured[[#This Row],[Scenario Weight]]</f>
        <v>0</v>
      </c>
      <c r="F23" s="59">
        <v>0</v>
      </c>
      <c r="G23" s="60">
        <f ca="1">SUM(Classic_Scenarios_Measured[[#This Row],[Adders (W)]], Classic_Scenarios_Measured[[#This Row],[Scorecard (W)]])</f>
        <v>0</v>
      </c>
      <c r="H23" s="79" t="str">
        <f ca="1">IF(Classic_Scenarios_Measured[[#This Row],[Scorecard (W)]]&lt;&gt;"", SUM(Classic_Scenarios_Measured[[#This Row],[Manual Adder (W)]:[Touch Adder (W)]]), "")</f>
        <v/>
      </c>
      <c r="I23" s="60"/>
      <c r="J23" s="60">
        <v>0.17849999999999999</v>
      </c>
      <c r="K23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24" spans="1:15" ht="15" customHeight="1" x14ac:dyDescent="0.35">
      <c r="A24" s="57" t="str">
        <f>IF(B24&lt;&gt;"",SUMIF(Classic_Scenarios_Measured[Category],Classic_Scenarios_Measured[[#This Row],[Category]],Classic_Scenarios_Measured[Scenario Weight]),"")</f>
        <v/>
      </c>
      <c r="B24" s="57" t="str">
        <f t="shared" si="0"/>
        <v/>
      </c>
      <c r="C24" s="54" t="s">
        <v>27</v>
      </c>
      <c r="D24" s="54" t="s">
        <v>31</v>
      </c>
      <c r="E24" s="58">
        <f>_xlfn.IFNA(VLOOKUP(Classic_Scenarios_Measured[[#This Row],[Category]],Classic_Categories_Measured[],2,FALSE),"")*Classic_Scenarios_Measured[[#This Row],[Scenario Weight]]</f>
        <v>0.03</v>
      </c>
      <c r="F24" s="59">
        <v>0.5</v>
      </c>
      <c r="G24" s="60">
        <f ca="1">SUM(Classic_Scenarios_Measured[[#This Row],[Adders (W)]], Classic_Scenarios_Measured[[#This Row],[Scorecard (W)]])</f>
        <v>0</v>
      </c>
      <c r="H24" s="79" t="str">
        <f ca="1">IF(Classic_Scenarios_Measured[[#This Row],[Scorecard (W)]]&lt;&gt;"", SUM(Classic_Scenarios_Measured[[#This Row],[Manual Adder (W)]:[Touch Adder (W)]]), "")</f>
        <v/>
      </c>
      <c r="I24" s="60"/>
      <c r="J24" s="60">
        <v>0.28139999999999998</v>
      </c>
      <c r="K24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25" spans="1:15" ht="15" customHeight="1" x14ac:dyDescent="0.35">
      <c r="A25" s="57">
        <f>IF(B25&lt;&gt;"",SUMIF(Classic_Scenarios_Measured[Category],Classic_Scenarios_Measured[[#This Row],[Category]],Classic_Scenarios_Measured[Scenario Weight]),"")</f>
        <v>1</v>
      </c>
      <c r="B25" s="57" t="str">
        <f t="shared" si="0"/>
        <v>Web</v>
      </c>
      <c r="C25" s="4" t="s">
        <v>28</v>
      </c>
      <c r="D25" s="54" t="s">
        <v>33</v>
      </c>
      <c r="E25" s="58">
        <f>_xlfn.IFNA(VLOOKUP(Classic_Scenarios_Measured[[#This Row],[Category]],Classic_Categories_Measured[],2,FALSE),"")*Classic_Scenarios_Measured[[#This Row],[Scenario Weight]]</f>
        <v>1.8749999999999999E-2</v>
      </c>
      <c r="F25" s="55">
        <v>0.25</v>
      </c>
      <c r="G25" s="60">
        <f ca="1">SUM(Classic_Scenarios_Measured[[#This Row],[Adders (W)]], Classic_Scenarios_Measured[[#This Row],[Scorecard (W)]])</f>
        <v>0</v>
      </c>
      <c r="H25" s="79" t="str">
        <f ca="1">IF(Classic_Scenarios_Measured[[#This Row],[Scorecard (W)]]&lt;&gt;"", SUM(Classic_Scenarios_Measured[[#This Row],[Manual Adder (W)]:[Touch Adder (W)]]), "")</f>
        <v/>
      </c>
      <c r="I25" s="60"/>
      <c r="J25" s="60">
        <v>0.15479999999999999</v>
      </c>
      <c r="K25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26" spans="1:15" ht="15" customHeight="1" x14ac:dyDescent="0.35">
      <c r="A26" s="57" t="str">
        <f>IF(B26&lt;&gt;"",SUMIF(Classic_Scenarios_Measured[Category],Classic_Scenarios_Measured[[#This Row],[Category]],Classic_Scenarios_Measured[Scenario Weight]),"")</f>
        <v/>
      </c>
      <c r="B26" s="57" t="str">
        <f t="shared" si="0"/>
        <v/>
      </c>
      <c r="C26" s="4" t="s">
        <v>28</v>
      </c>
      <c r="D26" s="54" t="s">
        <v>142</v>
      </c>
      <c r="E26" s="58">
        <f>_xlfn.IFNA(VLOOKUP(Classic_Scenarios_Measured[[#This Row],[Category]],Classic_Categories_Measured[],2,FALSE),"")*Classic_Scenarios_Measured[[#This Row],[Scenario Weight]]</f>
        <v>5.6249999999999994E-2</v>
      </c>
      <c r="F26" s="55">
        <v>0.75</v>
      </c>
      <c r="G26" s="60">
        <f ca="1">SUM(Classic_Scenarios_Measured[[#This Row],[Adders (W)]], Classic_Scenarios_Measured[[#This Row],[Scorecard (W)]])</f>
        <v>0</v>
      </c>
      <c r="H26" s="79" t="str">
        <f ca="1">IF(Classic_Scenarios_Measured[[#This Row],[Scorecard (W)]]&lt;&gt;"", SUM(Classic_Scenarios_Measured[[#This Row],[Manual Adder (W)]:[Touch Adder (W)]]), "")</f>
        <v/>
      </c>
      <c r="I26" s="60"/>
      <c r="J26" s="60">
        <v>0.3165</v>
      </c>
      <c r="K26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27" spans="1:15" ht="15" customHeight="1" x14ac:dyDescent="0.35">
      <c r="A27" s="57">
        <f>IF(B27&lt;&gt;"",SUMIF(Classic_Scenarios_Measured[Category],Classic_Scenarios_Measured[[#This Row],[Category]],Classic_Scenarios_Measured[Scenario Weight]),"")</f>
        <v>1</v>
      </c>
      <c r="B27" s="57" t="str">
        <f t="shared" si="0"/>
        <v>Entertainment</v>
      </c>
      <c r="C27" s="54" t="s">
        <v>36</v>
      </c>
      <c r="D27" s="54" t="s">
        <v>39</v>
      </c>
      <c r="E27" s="58">
        <f>_xlfn.IFNA(VLOOKUP(Classic_Scenarios_Measured[[#This Row],[Category]],Classic_Categories_Measured[],2,FALSE),"")*Classic_Scenarios_Measured[[#This Row],[Scenario Weight]]</f>
        <v>0</v>
      </c>
      <c r="F27" s="59">
        <v>0</v>
      </c>
      <c r="G27" s="60">
        <f ca="1">SUM(Classic_Scenarios_Measured[[#This Row],[Adders (W)]], Classic_Scenarios_Measured[[#This Row],[Scorecard (W)]])</f>
        <v>0</v>
      </c>
      <c r="H27" s="79" t="str">
        <f ca="1">IF(Classic_Scenarios_Measured[[#This Row],[Scorecard (W)]]&lt;&gt;"", SUM(Classic_Scenarios_Measured[[#This Row],[Manual Adder (W)]:[Touch Adder (W)]]), "")</f>
        <v/>
      </c>
      <c r="I27" s="60"/>
      <c r="J27" s="60">
        <v>1.2999999999999999E-3</v>
      </c>
      <c r="K27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28" spans="1:15" ht="15" customHeight="1" x14ac:dyDescent="0.35">
      <c r="A28" s="57" t="str">
        <f>IF(B28&lt;&gt;"",SUMIF(Classic_Scenarios_Measured[Category],Classic_Scenarios_Measured[[#This Row],[Category]],Classic_Scenarios_Measured[Scenario Weight]),"")</f>
        <v/>
      </c>
      <c r="B28" s="57" t="str">
        <f t="shared" si="0"/>
        <v/>
      </c>
      <c r="C28" s="54" t="s">
        <v>36</v>
      </c>
      <c r="D28" s="54" t="s">
        <v>42</v>
      </c>
      <c r="E28" s="58">
        <f>_xlfn.IFNA(VLOOKUP(Classic_Scenarios_Measured[[#This Row],[Category]],Classic_Categories_Measured[],2,FALSE),"")*Classic_Scenarios_Measured[[#This Row],[Scenario Weight]]</f>
        <v>6.0000000000000001E-3</v>
      </c>
      <c r="F28" s="59">
        <v>0.2</v>
      </c>
      <c r="G28" s="60">
        <f ca="1">SUM(Classic_Scenarios_Measured[[#This Row],[Adders (W)]], Classic_Scenarios_Measured[[#This Row],[Scorecard (W)]])</f>
        <v>0</v>
      </c>
      <c r="H28" s="79" t="str">
        <f ca="1">IF(Classic_Scenarios_Measured[[#This Row],[Scorecard (W)]]&lt;&gt;"", SUM(Classic_Scenarios_Measured[[#This Row],[Manual Adder (W)]:[Touch Adder (W)]]), "")</f>
        <v/>
      </c>
      <c r="I28" s="60"/>
      <c r="J28" s="60">
        <v>1.2999999999999999E-3</v>
      </c>
      <c r="K28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29" spans="1:15" ht="15" customHeight="1" x14ac:dyDescent="0.35">
      <c r="A29" s="57" t="str">
        <f>IF(B29&lt;&gt;"",SUMIF(Classic_Scenarios_Measured[Category],Classic_Scenarios_Measured[[#This Row],[Category]],Classic_Scenarios_Measured[Scenario Weight]),"")</f>
        <v/>
      </c>
      <c r="B29" s="57" t="str">
        <f t="shared" si="0"/>
        <v/>
      </c>
      <c r="C29" s="54" t="s">
        <v>36</v>
      </c>
      <c r="D29" s="4" t="s">
        <v>46</v>
      </c>
      <c r="E29" s="58">
        <f>_xlfn.IFNA(VLOOKUP(Classic_Scenarios_Measured[[#This Row],[Category]],Classic_Categories_Measured[],2,FALSE),"")*Classic_Scenarios_Measured[[#This Row],[Scenario Weight]]</f>
        <v>0</v>
      </c>
      <c r="F29" s="59">
        <v>0</v>
      </c>
      <c r="G29" s="60">
        <f ca="1">SUM(Classic_Scenarios_Measured[[#This Row],[Adders (W)]], Classic_Scenarios_Measured[[#This Row],[Scorecard (W)]])</f>
        <v>0</v>
      </c>
      <c r="H29" s="79" t="str">
        <f ca="1">IF(Classic_Scenarios_Measured[[#This Row],[Scorecard (W)]]&lt;&gt;"", SUM(Classic_Scenarios_Measured[[#This Row],[Manual Adder (W)]:[Touch Adder (W)]]), "")</f>
        <v/>
      </c>
      <c r="I29" s="60"/>
      <c r="J29" s="60">
        <v>1.2999999999999999E-3</v>
      </c>
      <c r="K29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0" spans="1:15" ht="15" customHeight="1" x14ac:dyDescent="0.35">
      <c r="A30" s="57" t="str">
        <f>IF(B30&lt;&gt;"",SUMIF(Classic_Scenarios_Measured[Category],Classic_Scenarios_Measured[[#This Row],[Category]],Classic_Scenarios_Measured[Scenario Weight]),"")</f>
        <v/>
      </c>
      <c r="B30" s="57" t="str">
        <f t="shared" si="0"/>
        <v/>
      </c>
      <c r="C30" s="54" t="s">
        <v>36</v>
      </c>
      <c r="D30" s="54" t="s">
        <v>48</v>
      </c>
      <c r="E30" s="58">
        <f>_xlfn.IFNA(VLOOKUP(Classic_Scenarios_Measured[[#This Row],[Category]],Classic_Categories_Measured[],2,FALSE),"")*Classic_Scenarios_Measured[[#This Row],[Scenario Weight]]</f>
        <v>2.4E-2</v>
      </c>
      <c r="F30" s="59">
        <v>0.8</v>
      </c>
      <c r="G30" s="60">
        <f ca="1">SUM(Classic_Scenarios_Measured[[#This Row],[Adders (W)]], Classic_Scenarios_Measured[[#This Row],[Scorecard (W)]])</f>
        <v>0</v>
      </c>
      <c r="H30" s="79" t="str">
        <f ca="1">IF(Classic_Scenarios_Measured[[#This Row],[Scorecard (W)]]&lt;&gt;"", SUM(Classic_Scenarios_Measured[[#This Row],[Manual Adder (W)]:[Touch Adder (W)]]), "")</f>
        <v/>
      </c>
      <c r="I30" s="60"/>
      <c r="J30" s="60">
        <v>1.2999999999999999E-3</v>
      </c>
      <c r="K30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1" spans="1:15" ht="15" customHeight="1" x14ac:dyDescent="0.35">
      <c r="A31" s="57" t="str">
        <f>IF(B31&lt;&gt;"",SUMIF(Classic_Scenarios_Measured[Category],Classic_Scenarios_Measured[[#This Row],[Category]],Classic_Scenarios_Measured[Scenario Weight]),"")</f>
        <v/>
      </c>
      <c r="B31" s="57" t="str">
        <f t="shared" si="0"/>
        <v/>
      </c>
      <c r="C31" s="54" t="s">
        <v>36</v>
      </c>
      <c r="D31" s="4" t="s">
        <v>52</v>
      </c>
      <c r="E31" s="58">
        <f>_xlfn.IFNA(VLOOKUP(Classic_Scenarios_Measured[[#This Row],[Category]],Classic_Categories_Measured[],2,FALSE),"")*Classic_Scenarios_Measured[[#This Row],[Scenario Weight]]</f>
        <v>0</v>
      </c>
      <c r="F31" s="59">
        <v>0</v>
      </c>
      <c r="G31" s="60">
        <f ca="1">SUM(Classic_Scenarios_Measured[[#This Row],[Adders (W)]], Classic_Scenarios_Measured[[#This Row],[Scorecard (W)]])</f>
        <v>0</v>
      </c>
      <c r="H31" s="79" t="str">
        <f ca="1">IF(Classic_Scenarios_Measured[[#This Row],[Scorecard (W)]]&lt;&gt;"", SUM(Classic_Scenarios_Measured[[#This Row],[Manual Adder (W)]:[Touch Adder (W)]]), "")</f>
        <v/>
      </c>
      <c r="I31" s="60"/>
      <c r="J31" s="60">
        <v>1.2999999999999999E-3</v>
      </c>
      <c r="K31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2" spans="1:15" ht="15" customHeight="1" x14ac:dyDescent="0.35">
      <c r="A32" s="57" t="str">
        <f>IF(B32&lt;&gt;"",SUMIF(Classic_Scenarios_Measured[Category],Classic_Scenarios_Measured[[#This Row],[Category]],Classic_Scenarios_Measured[Scenario Weight]),"")</f>
        <v/>
      </c>
      <c r="B32" s="57" t="str">
        <f t="shared" si="0"/>
        <v/>
      </c>
      <c r="C32" s="54" t="s">
        <v>36</v>
      </c>
      <c r="D32" s="4" t="s">
        <v>143</v>
      </c>
      <c r="E32" s="58">
        <f>_xlfn.IFNA(VLOOKUP(Classic_Scenarios_Measured[[#This Row],[Category]],Classic_Categories_Measured[],2,FALSE),"")*Classic_Scenarios_Measured[[#This Row],[Scenario Weight]]</f>
        <v>0</v>
      </c>
      <c r="F32" s="59">
        <v>0</v>
      </c>
      <c r="G32" s="60">
        <f ca="1">SUM(Classic_Scenarios_Measured[[#This Row],[Adders (W)]], Classic_Scenarios_Measured[[#This Row],[Scorecard (W)]])</f>
        <v>0</v>
      </c>
      <c r="H32" s="79" t="str">
        <f ca="1">IF(Classic_Scenarios_Measured[[#This Row],[Scorecard (W)]]&lt;&gt;"", SUM(Classic_Scenarios_Measured[[#This Row],[Manual Adder (W)]:[Touch Adder (W)]]), "")</f>
        <v/>
      </c>
      <c r="I32" s="60"/>
      <c r="J32" s="60">
        <v>1.2999999999999999E-3</v>
      </c>
      <c r="K32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3" spans="1:11" ht="15" customHeight="1" x14ac:dyDescent="0.35">
      <c r="A33" s="57">
        <f>IF(B33&lt;&gt;"",SUMIF(Classic_Scenarios_Measured[Category],Classic_Scenarios_Measured[[#This Row],[Category]],Classic_Scenarios_Measured[Scenario Weight]),"")</f>
        <v>1</v>
      </c>
      <c r="B33" s="57" t="str">
        <f t="shared" si="0"/>
        <v>Communication</v>
      </c>
      <c r="C33" s="54" t="s">
        <v>32</v>
      </c>
      <c r="D33" s="54" t="s">
        <v>58</v>
      </c>
      <c r="E33" s="58">
        <f>_xlfn.IFNA(VLOOKUP(Classic_Scenarios_Measured[[#This Row],[Category]],Classic_Categories_Measured[],2,FALSE),"")*Classic_Scenarios_Measured[[#This Row],[Scenario Weight]]</f>
        <v>0.03</v>
      </c>
      <c r="F33" s="59">
        <v>1</v>
      </c>
      <c r="G33" s="60">
        <f ca="1">SUM(Classic_Scenarios_Measured[[#This Row],[Adders (W)]], Classic_Scenarios_Measured[[#This Row],[Scorecard (W)]])</f>
        <v>0</v>
      </c>
      <c r="H33" s="79" t="str">
        <f ca="1">IF(Classic_Scenarios_Measured[[#This Row],[Scorecard (W)]]&lt;&gt;"", SUM(Classic_Scenarios_Measured[[#This Row],[Manual Adder (W)]:[Touch Adder (W)]]), "")</f>
        <v/>
      </c>
      <c r="I33" s="60"/>
      <c r="J33" s="60">
        <v>1.3100000000000001E-2</v>
      </c>
      <c r="K33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4" spans="1:11" ht="15" customHeight="1" x14ac:dyDescent="0.35">
      <c r="A34" s="57">
        <f>IF(B34&lt;&gt;"",SUMIF(Classic_Scenarios_Measured[Category],Classic_Scenarios_Measured[[#This Row],[Category]],Classic_Scenarios_Measured[Scenario Weight]),"")</f>
        <v>1</v>
      </c>
      <c r="B34" s="57" t="str">
        <f t="shared" si="0"/>
        <v>Gaming</v>
      </c>
      <c r="C34" s="54" t="s">
        <v>34</v>
      </c>
      <c r="D34" s="4" t="s">
        <v>60</v>
      </c>
      <c r="E34" s="58">
        <f>_xlfn.IFNA(VLOOKUP(Classic_Scenarios_Measured[[#This Row],[Category]],Classic_Categories_Measured[],2,FALSE),"")*Classic_Scenarios_Measured[[#This Row],[Scenario Weight]]</f>
        <v>0.03</v>
      </c>
      <c r="F34" s="59">
        <v>1</v>
      </c>
      <c r="G34" s="60">
        <f ca="1">SUM(Classic_Scenarios_Measured[[#This Row],[Adders (W)]], Classic_Scenarios_Measured[[#This Row],[Scorecard (W)]])</f>
        <v>0</v>
      </c>
      <c r="H34" s="79" t="str">
        <f ca="1">IF(Classic_Scenarios_Measured[[#This Row],[Scorecard (W)]]&lt;&gt;"", SUM(Classic_Scenarios_Measured[[#This Row],[Manual Adder (W)]:[Touch Adder (W)]]), "")</f>
        <v/>
      </c>
      <c r="I34" s="60"/>
      <c r="J34" s="60">
        <v>0.22570000000000001</v>
      </c>
      <c r="K34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5" spans="1:11" ht="15" customHeight="1" x14ac:dyDescent="0.35">
      <c r="A35" s="57">
        <f>IF(B35&lt;&gt;"",SUMIF(Classic_Scenarios_Measured[Category],Classic_Scenarios_Measured[[#This Row],[Category]],Classic_Scenarios_Measured[Scenario Weight]),"")</f>
        <v>1</v>
      </c>
      <c r="B35" s="57" t="str">
        <f t="shared" si="0"/>
        <v>Productivity</v>
      </c>
      <c r="C35" s="4" t="s">
        <v>30</v>
      </c>
      <c r="D35" s="4" t="s">
        <v>141</v>
      </c>
      <c r="E35" s="58">
        <f>_xlfn.IFNA(VLOOKUP(Classic_Scenarios_Measured[[#This Row],[Category]],Classic_Categories_Measured[],2,FALSE),"")*Classic_Scenarios_Measured[[#This Row],[Scenario Weight]]</f>
        <v>4.4999999999999998E-2</v>
      </c>
      <c r="F35" s="55">
        <v>1</v>
      </c>
      <c r="G35" s="60">
        <f ca="1">SUM(Classic_Scenarios_Measured[[#This Row],[Adders (W)]], Classic_Scenarios_Measured[[#This Row],[Scorecard (W)]])</f>
        <v>0</v>
      </c>
      <c r="H35" s="79" t="str">
        <f ca="1">IF(Classic_Scenarios_Measured[[#This Row],[Scorecard (W)]]&lt;&gt;"", SUM(Classic_Scenarios_Measured[[#This Row],[Manual Adder (W)]:[Touch Adder (W)]]), "")</f>
        <v/>
      </c>
      <c r="I35" s="60"/>
      <c r="J35" s="60">
        <v>0.2462</v>
      </c>
      <c r="K35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6" spans="1:11" ht="15" customHeight="1" x14ac:dyDescent="0.35">
      <c r="A36" s="57">
        <f>IF(B36&lt;&gt;"",SUMIF(Classic_Scenarios_Measured[Category],Classic_Scenarios_Measured[[#This Row],[Category]],Classic_Scenarios_Measured[Scenario Weight]),"")</f>
        <v>1</v>
      </c>
      <c r="B36" s="57" t="str">
        <f t="shared" si="0"/>
        <v>Smartphone</v>
      </c>
      <c r="C36" s="4" t="s">
        <v>40</v>
      </c>
      <c r="D36" s="54" t="s">
        <v>63</v>
      </c>
      <c r="E36" s="58">
        <f>_xlfn.IFNA(VLOOKUP(Classic_Scenarios_Measured[[#This Row],[Category]],Classic_Categories_Measured[],2,FALSE),"")*Classic_Scenarios_Measured[[#This Row],[Scenario Weight]]</f>
        <v>4.4999999999999997E-3</v>
      </c>
      <c r="F36" s="55">
        <v>0.3</v>
      </c>
      <c r="G36" s="60">
        <f ca="1">SUM(Classic_Scenarios_Measured[[#This Row],[Adders (W)]], Classic_Scenarios_Measured[[#This Row],[Scorecard (W)]])</f>
        <v>0</v>
      </c>
      <c r="H36" s="79" t="str">
        <f ca="1">IF(Classic_Scenarios_Measured[[#This Row],[Scorecard (W)]]&lt;&gt;"", SUM(Classic_Scenarios_Measured[[#This Row],[Manual Adder (W)]:[Touch Adder (W)]]), "")</f>
        <v/>
      </c>
      <c r="I36" s="60"/>
      <c r="J36" s="60">
        <v>1.3100000000000001E-2</v>
      </c>
      <c r="K36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7" spans="1:11" ht="15" customHeight="1" x14ac:dyDescent="0.35">
      <c r="A37" s="57" t="str">
        <f>IF(B37&lt;&gt;"",SUMIF(Classic_Scenarios_Measured[Category],Classic_Scenarios_Measured[[#This Row],[Category]],Classic_Scenarios_Measured[Scenario Weight]),"")</f>
        <v/>
      </c>
      <c r="B37" s="57" t="str">
        <f t="shared" si="0"/>
        <v/>
      </c>
      <c r="C37" s="54" t="s">
        <v>40</v>
      </c>
      <c r="D37" s="4" t="s">
        <v>65</v>
      </c>
      <c r="E37" s="58">
        <f>_xlfn.IFNA(VLOOKUP(Classic_Scenarios_Measured[[#This Row],[Category]],Classic_Categories_Measured[],2,FALSE),"")*Classic_Scenarios_Measured[[#This Row],[Scenario Weight]]</f>
        <v>6.0000000000000001E-3</v>
      </c>
      <c r="F37" s="59">
        <v>0.4</v>
      </c>
      <c r="G37" s="60">
        <f ca="1">SUM(Classic_Scenarios_Measured[[#This Row],[Adders (W)]], Classic_Scenarios_Measured[[#This Row],[Scorecard (W)]])</f>
        <v>0</v>
      </c>
      <c r="H37" s="79" t="str">
        <f ca="1">IF(Classic_Scenarios_Measured[[#This Row],[Scorecard (W)]]&lt;&gt;"", SUM(Classic_Scenarios_Measured[[#This Row],[Manual Adder (W)]:[Touch Adder (W)]]), "")</f>
        <v/>
      </c>
      <c r="I37" s="60"/>
      <c r="J37" s="60">
        <v>0.17849999999999999</v>
      </c>
      <c r="K37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8" spans="1:11" x14ac:dyDescent="0.35">
      <c r="A38" s="57" t="str">
        <f>IF(B38&lt;&gt;"",SUMIF(Classic_Scenarios_Measured[Category],Classic_Scenarios_Measured[[#This Row],[Category]],Classic_Scenarios_Measured[Scenario Weight]),"")</f>
        <v/>
      </c>
      <c r="B38" s="57" t="str">
        <f t="shared" si="0"/>
        <v/>
      </c>
      <c r="C38" s="4" t="s">
        <v>40</v>
      </c>
      <c r="D38" s="54" t="s">
        <v>67</v>
      </c>
      <c r="E38" s="58">
        <f>_xlfn.IFNA(VLOOKUP(Classic_Scenarios_Measured[[#This Row],[Category]],Classic_Categories_Measured[],2,FALSE),"")*Classic_Scenarios_Measured[[#This Row],[Scenario Weight]]</f>
        <v>4.4999999999999997E-3</v>
      </c>
      <c r="F38" s="55">
        <v>0.3</v>
      </c>
      <c r="G38" s="60">
        <f ca="1">SUM(Classic_Scenarios_Measured[[#This Row],[Adders (W)]], Classic_Scenarios_Measured[[#This Row],[Scorecard (W)]])</f>
        <v>0</v>
      </c>
      <c r="H38" s="79" t="str">
        <f ca="1">IF(Classic_Scenarios_Measured[[#This Row],[Scorecard (W)]]&lt;&gt;"", SUM(Classic_Scenarios_Measured[[#This Row],[Manual Adder (W)]:[Touch Adder (W)]]), "")</f>
        <v/>
      </c>
      <c r="I38" s="60"/>
      <c r="J38" s="60">
        <v>1.2999999999999999E-3</v>
      </c>
      <c r="K38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39" spans="1:11" x14ac:dyDescent="0.35">
      <c r="A39" s="57">
        <f>IF(B39&lt;&gt;"",SUMIF(Classic_Scenarios_Measured[Category],Classic_Scenarios_Measured[[#This Row],[Category]],Classic_Scenarios_Measured[Scenario Weight]),"")</f>
        <v>1</v>
      </c>
      <c r="B39" s="57" t="str">
        <f t="shared" si="0"/>
        <v>System</v>
      </c>
      <c r="C39" s="4" t="s">
        <v>38</v>
      </c>
      <c r="D39" s="54" t="s">
        <v>69</v>
      </c>
      <c r="E39" s="58">
        <f>_xlfn.IFNA(VLOOKUP(Classic_Scenarios_Measured[[#This Row],[Category]],Classic_Categories_Measured[],2,FALSE),"")*Classic_Scenarios_Measured[[#This Row],[Scenario Weight]]</f>
        <v>1.4999999999999999E-2</v>
      </c>
      <c r="F39" s="55">
        <v>1</v>
      </c>
      <c r="G39" s="60">
        <f ca="1">SUM(Classic_Scenarios_Measured[[#This Row],[Adders (W)]], Classic_Scenarios_Measured[[#This Row],[Scorecard (W)]])</f>
        <v>0</v>
      </c>
      <c r="H39" s="79" t="str">
        <f ca="1">IF(Classic_Scenarios_Measured[[#This Row],[Scorecard (W)]]&lt;&gt;"", SUM(Classic_Scenarios_Measured[[#This Row],[Manual Adder (W)]:[Touch Adder (W)]]), "")</f>
        <v/>
      </c>
      <c r="I39" s="60"/>
      <c r="J39" s="60">
        <v>0.28139999999999998</v>
      </c>
      <c r="K39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0" spans="1:11" x14ac:dyDescent="0.35">
      <c r="A40" s="57">
        <f>IF(B40&lt;&gt;"",SUMIF(Classic_Scenarios_Measured[Category],Classic_Scenarios_Measured[[#This Row],[Category]],Classic_Scenarios_Measured[Scenario Weight]),"")</f>
        <v>1</v>
      </c>
      <c r="B40" s="57" t="str">
        <f t="shared" si="0"/>
        <v>Standby</v>
      </c>
      <c r="C40" s="4" t="s">
        <v>16</v>
      </c>
      <c r="D40" s="54" t="s">
        <v>71</v>
      </c>
      <c r="E40" s="58">
        <f>_xlfn.IFNA(VLOOKUP(Classic_Scenarios_Measured[[#This Row],[Category]],Classic_Categories_Measured[],2,FALSE),"")*Classic_Scenarios_Measured[[#This Row],[Scenario Weight]]</f>
        <v>0.55999999999999994</v>
      </c>
      <c r="F40" s="55">
        <v>0.8</v>
      </c>
      <c r="G40" s="60">
        <f ca="1">SUM(Classic_Scenarios_Measured[[#This Row],[Adders (W)]], Classic_Scenarios_Measured[[#This Row],[Scorecard (W)]])</f>
        <v>0</v>
      </c>
      <c r="H40" s="79" t="str">
        <f ca="1">IF(Classic_Scenarios_Measured[[#This Row],[Scorecard (W)]]&lt;&gt;"", SUM(Classic_Scenarios_Measured[[#This Row],[Manual Adder (W)]:[Touch Adder (W)]]), "")</f>
        <v/>
      </c>
      <c r="I40" s="60"/>
      <c r="J40" s="60">
        <v>0</v>
      </c>
      <c r="K40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1" spans="1:11" x14ac:dyDescent="0.35">
      <c r="A41" s="57" t="str">
        <f>IF(B41&lt;&gt;"",SUMIF(Classic_Scenarios_Measured[Category],Classic_Scenarios_Measured[[#This Row],[Category]],Classic_Scenarios_Measured[Scenario Weight]),"")</f>
        <v/>
      </c>
      <c r="B41" s="57" t="str">
        <f t="shared" si="0"/>
        <v/>
      </c>
      <c r="C41" s="4" t="s">
        <v>16</v>
      </c>
      <c r="D41" s="54" t="s">
        <v>73</v>
      </c>
      <c r="E41" s="58">
        <f>_xlfn.IFNA(VLOOKUP(Classic_Scenarios_Measured[[#This Row],[Category]],Classic_Categories_Measured[],2,FALSE),"")*Classic_Scenarios_Measured[[#This Row],[Scenario Weight]]</f>
        <v>0</v>
      </c>
      <c r="F41" s="55">
        <v>0</v>
      </c>
      <c r="G41" s="60">
        <f ca="1">SUM(Classic_Scenarios_Measured[[#This Row],[Adders (W)]], Classic_Scenarios_Measured[[#This Row],[Scorecard (W)]])</f>
        <v>0</v>
      </c>
      <c r="H41" s="79" t="str">
        <f ca="1">IF(Classic_Scenarios_Measured[[#This Row],[Scorecard (W)]]&lt;&gt;"", SUM(Classic_Scenarios_Measured[[#This Row],[Manual Adder (W)]:[Touch Adder (W)]]), "")</f>
        <v/>
      </c>
      <c r="I41" s="60"/>
      <c r="J41" s="60">
        <v>0</v>
      </c>
      <c r="K41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2" spans="1:11" x14ac:dyDescent="0.35">
      <c r="A42" s="57" t="str">
        <f>IF(B42&lt;&gt;"",SUMIF(Classic_Scenarios_Measured[Category],Classic_Scenarios_Measured[[#This Row],[Category]],Classic_Scenarios_Measured[Scenario Weight]),"")</f>
        <v/>
      </c>
      <c r="B42" s="57" t="str">
        <f t="shared" si="0"/>
        <v/>
      </c>
      <c r="C42" s="4" t="s">
        <v>16</v>
      </c>
      <c r="D42" s="54" t="s">
        <v>74</v>
      </c>
      <c r="E42" s="58">
        <f>_xlfn.IFNA(VLOOKUP(Classic_Scenarios_Measured[[#This Row],[Category]],Classic_Categories_Measured[],2,FALSE),"")*Classic_Scenarios_Measured[[#This Row],[Scenario Weight]]</f>
        <v>0.13999999999999999</v>
      </c>
      <c r="F42" s="55">
        <v>0.2</v>
      </c>
      <c r="G42" s="60">
        <f ca="1">SUM(Classic_Scenarios_Measured[[#This Row],[Adders (W)]], Classic_Scenarios_Measured[[#This Row],[Scorecard (W)]])</f>
        <v>0</v>
      </c>
      <c r="H42" s="79" t="str">
        <f ca="1">IF(Classic_Scenarios_Measured[[#This Row],[Scorecard (W)]]&lt;&gt;"", SUM(Classic_Scenarios_Measured[[#This Row],[Manual Adder (W)]:[Touch Adder (W)]]), "")</f>
        <v/>
      </c>
      <c r="I42" s="60"/>
      <c r="J42" s="60">
        <v>0</v>
      </c>
      <c r="K42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3" spans="1:11" x14ac:dyDescent="0.35">
      <c r="A43" s="57" t="str">
        <f>IF(B43&lt;&gt;"",SUMIF(Classic_Scenarios_Measured[Category],Classic_Scenarios_Measured[[#This Row],[Category]],Classic_Scenarios_Measured[Scenario Weight]),"")</f>
        <v/>
      </c>
      <c r="B43" s="57" t="str">
        <f t="shared" si="0"/>
        <v/>
      </c>
      <c r="C43" s="4" t="s">
        <v>16</v>
      </c>
      <c r="D43" s="54" t="s">
        <v>76</v>
      </c>
      <c r="E43" s="58">
        <f>_xlfn.IFNA(VLOOKUP(Classic_Scenarios_Measured[[#This Row],[Category]],Classic_Categories_Measured[],2,FALSE),"")*Classic_Scenarios_Measured[[#This Row],[Scenario Weight]]</f>
        <v>0</v>
      </c>
      <c r="F43" s="55">
        <v>0</v>
      </c>
      <c r="G43" s="60">
        <f ca="1">SUM(Classic_Scenarios_Measured[[#This Row],[Adders (W)]], Classic_Scenarios_Measured[[#This Row],[Scorecard (W)]])</f>
        <v>0</v>
      </c>
      <c r="H43" s="79" t="str">
        <f ca="1">IF(Classic_Scenarios_Measured[[#This Row],[Scorecard (W)]]&lt;&gt;"", SUM(Classic_Scenarios_Measured[[#This Row],[Manual Adder (W)]:[Touch Adder (W)]]), "")</f>
        <v/>
      </c>
      <c r="I43" s="60"/>
      <c r="J43" s="60">
        <v>0</v>
      </c>
      <c r="K43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4" spans="1:11" x14ac:dyDescent="0.35">
      <c r="A44" s="57" t="str">
        <f>IF(B44&lt;&gt;"",SUMIF(Classic_Scenarios_Measured[Category],Classic_Scenarios_Measured[[#This Row],[Category]],Classic_Scenarios_Measured[Scenario Weight]),"")</f>
        <v/>
      </c>
      <c r="B44" s="57" t="str">
        <f t="shared" si="0"/>
        <v/>
      </c>
      <c r="C44" s="4" t="s">
        <v>16</v>
      </c>
      <c r="D44" s="54" t="s">
        <v>78</v>
      </c>
      <c r="E44" s="58">
        <f>_xlfn.IFNA(VLOOKUP(Classic_Scenarios_Measured[[#This Row],[Category]],Classic_Categories_Measured[],2,FALSE),"")*Classic_Scenarios_Measured[[#This Row],[Scenario Weight]]</f>
        <v>0</v>
      </c>
      <c r="F44" s="55">
        <v>0</v>
      </c>
      <c r="G44" s="60">
        <f ca="1">SUM(Classic_Scenarios_Measured[[#This Row],[Adders (W)]], Classic_Scenarios_Measured[[#This Row],[Scorecard (W)]])</f>
        <v>0</v>
      </c>
      <c r="H44" s="79" t="str">
        <f ca="1">IF(Classic_Scenarios_Measured[[#This Row],[Scorecard (W)]]&lt;&gt;"", SUM(Classic_Scenarios_Measured[[#This Row],[Manual Adder (W)]:[Touch Adder (W)]]), "")</f>
        <v/>
      </c>
      <c r="I44" s="60"/>
      <c r="J44" s="60">
        <v>0</v>
      </c>
      <c r="K44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5" spans="1:11" x14ac:dyDescent="0.35">
      <c r="A45" s="57">
        <f>IF(B45&lt;&gt;"",SUMIF(Classic_Scenarios_Measured[Category],Classic_Scenarios_Measured[[#This Row],[Category]],Classic_Scenarios_Measured[Scenario Weight]),"")</f>
        <v>0</v>
      </c>
      <c r="B45" s="57" t="str">
        <f t="shared" si="0"/>
        <v>Idle</v>
      </c>
      <c r="C45" s="4" t="s">
        <v>43</v>
      </c>
      <c r="D45" s="54" t="s">
        <v>80</v>
      </c>
      <c r="E45" s="58">
        <f>_xlfn.IFNA(VLOOKUP(Classic_Scenarios_Measured[[#This Row],[Category]],Classic_Categories_Measured[],2,FALSE),"")*Classic_Scenarios_Measured[[#This Row],[Scenario Weight]]</f>
        <v>0</v>
      </c>
      <c r="F45" s="55">
        <v>0</v>
      </c>
      <c r="G45" s="60">
        <f ca="1">SUM(Classic_Scenarios_Measured[[#This Row],[Adders (W)]], Classic_Scenarios_Measured[[#This Row],[Scorecard (W)]])</f>
        <v>0</v>
      </c>
      <c r="H45" s="79" t="str">
        <f ca="1">IF(Classic_Scenarios_Measured[[#This Row],[Scorecard (W)]]&lt;&gt;"", SUM(Classic_Scenarios_Measured[[#This Row],[Manual Adder (W)]:[Touch Adder (W)]]), "")</f>
        <v/>
      </c>
      <c r="I45" s="60"/>
      <c r="J45" s="60">
        <v>0</v>
      </c>
      <c r="K45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6" spans="1:11" x14ac:dyDescent="0.35">
      <c r="A46" s="57" t="str">
        <f>IF(B46&lt;&gt;"",SUMIF(Classic_Scenarios_Measured[Category],Classic_Scenarios_Measured[[#This Row],[Category]],Classic_Scenarios_Measured[Scenario Weight]),"")</f>
        <v/>
      </c>
      <c r="B46" s="57" t="str">
        <f t="shared" si="0"/>
        <v/>
      </c>
      <c r="C46" s="4" t="s">
        <v>43</v>
      </c>
      <c r="D46" s="4" t="s">
        <v>83</v>
      </c>
      <c r="E46" s="58">
        <f>_xlfn.IFNA(VLOOKUP(Classic_Scenarios_Measured[[#This Row],[Category]],Classic_Categories_Measured[],2,FALSE),"")*Classic_Scenarios_Measured[[#This Row],[Scenario Weight]]</f>
        <v>0</v>
      </c>
      <c r="F46" s="55">
        <v>0</v>
      </c>
      <c r="G46" s="60">
        <f ca="1">SUM(Classic_Scenarios_Measured[[#This Row],[Adders (W)]], Classic_Scenarios_Measured[[#This Row],[Scorecard (W)]])</f>
        <v>0</v>
      </c>
      <c r="H46" s="79" t="str">
        <f ca="1">IF(Classic_Scenarios_Measured[[#This Row],[Scorecard (W)]]&lt;&gt;"", SUM(Classic_Scenarios_Measured[[#This Row],[Manual Adder (W)]:[Touch Adder (W)]]), "")</f>
        <v/>
      </c>
      <c r="I46" s="60"/>
      <c r="J46" s="60">
        <v>0</v>
      </c>
      <c r="K46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7" spans="1:11" x14ac:dyDescent="0.35">
      <c r="A47" s="57" t="str">
        <f>IF(B47&lt;&gt;"",SUMIF(Classic_Scenarios_Measured[Category],Classic_Scenarios_Measured[[#This Row],[Category]],Classic_Scenarios_Measured[Scenario Weight]),"")</f>
        <v/>
      </c>
      <c r="B47" s="57" t="str">
        <f t="shared" si="0"/>
        <v/>
      </c>
      <c r="C47" s="4" t="s">
        <v>43</v>
      </c>
      <c r="D47" s="4" t="s">
        <v>85</v>
      </c>
      <c r="E47" s="58">
        <f>_xlfn.IFNA(VLOOKUP(Classic_Scenarios_Measured[[#This Row],[Category]],Classic_Categories_Measured[],2,FALSE),"")*Classic_Scenarios_Measured[[#This Row],[Scenario Weight]]</f>
        <v>0</v>
      </c>
      <c r="F47" s="55">
        <v>0</v>
      </c>
      <c r="G47" s="60">
        <f ca="1">SUM(Classic_Scenarios_Measured[[#This Row],[Adders (W)]], Classic_Scenarios_Measured[[#This Row],[Scorecard (W)]])</f>
        <v>0</v>
      </c>
      <c r="H47" s="79" t="str">
        <f ca="1">IF(Classic_Scenarios_Measured[[#This Row],[Scorecard (W)]]&lt;&gt;"", SUM(Classic_Scenarios_Measured[[#This Row],[Manual Adder (W)]:[Touch Adder (W)]]), "")</f>
        <v/>
      </c>
      <c r="I47" s="60"/>
      <c r="J47" s="60">
        <v>0</v>
      </c>
      <c r="K47" s="99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8" spans="1:11" ht="15" customHeight="1" thickBot="1" x14ac:dyDescent="0.4">
      <c r="A48" s="57">
        <f>IF(B48&lt;&gt;"",SUMIF(Classic_Scenarios_Measured[Category],Classic_Scenarios_Measured[[#This Row],[Category]],Classic_Scenarios_Measured[Scenario Weight]),"")</f>
        <v>1</v>
      </c>
      <c r="B48" s="57" t="str">
        <f t="shared" si="0"/>
        <v>Mixed</v>
      </c>
      <c r="C48" s="4" t="s">
        <v>88</v>
      </c>
      <c r="D48" s="54" t="s">
        <v>140</v>
      </c>
      <c r="E48" s="58">
        <f>_xlfn.IFNA(VLOOKUP(Classic_Scenarios_Measured[[#This Row],[Category]],Classic_Categories_Measured[],2,FALSE),"")*Classic_Scenarios_Measured[[#This Row],[Scenario Weight]]</f>
        <v>0</v>
      </c>
      <c r="F48" s="55">
        <v>1</v>
      </c>
      <c r="G48" s="60">
        <f ca="1">SUM(Classic_Scenarios_Measured[[#This Row],[Adders (W)]], Classic_Scenarios_Measured[[#This Row],[Scorecard (W)]])</f>
        <v>0</v>
      </c>
      <c r="H48" s="79" t="str">
        <f ca="1">IF(Classic_Scenarios_Measured[[#This Row],[Scorecard (W)]]&lt;&gt;"", SUM(Classic_Scenarios_Measured[[#This Row],[Manual Adder (W)]:[Touch Adder (W)]]), "")</f>
        <v/>
      </c>
      <c r="I48" s="60"/>
      <c r="J48" s="60">
        <v>0.18037994700000001</v>
      </c>
      <c r="K48" s="100" t="str">
        <f ca="1">IF(OFFSET(Scorecard!$B$15, 0, MATCH(Classic_Scenarios_Measured[[#This Row],[Scenario]], Scorecard!$B$2:$BC$2,0))&lt;&gt;"", OFFSET(Scorecard!$B$15, 0, MATCH(Classic_Scenarios_Measured[[#This Row],[Scenario]], Scorecard!$B$2:$BC$2,0))/1000, "")</f>
        <v/>
      </c>
    </row>
    <row r="49" spans="1:12" x14ac:dyDescent="0.35">
      <c r="C49" s="54"/>
      <c r="D49" s="54"/>
      <c r="E49" s="58"/>
      <c r="F49" s="59"/>
      <c r="G49" s="60"/>
      <c r="H49" s="60"/>
      <c r="I49" s="60"/>
      <c r="J49" s="60"/>
      <c r="K49" s="60"/>
      <c r="L49" s="80"/>
    </row>
    <row r="50" spans="1:12" x14ac:dyDescent="0.35">
      <c r="C50" s="58"/>
      <c r="D50" s="59"/>
      <c r="E50" s="60"/>
      <c r="F50" s="60"/>
      <c r="G50" s="60"/>
      <c r="H50" s="60"/>
      <c r="I50" s="60"/>
      <c r="J50" s="60"/>
      <c r="K50" s="81"/>
      <c r="L50" s="80"/>
    </row>
    <row r="51" spans="1:12" x14ac:dyDescent="0.35">
      <c r="C51" s="58"/>
      <c r="D51" s="59"/>
      <c r="E51" s="60"/>
      <c r="F51" s="60"/>
      <c r="G51" s="60"/>
      <c r="H51" s="60"/>
      <c r="I51" s="60"/>
      <c r="J51" s="60"/>
      <c r="K51" s="81"/>
      <c r="L51" s="80"/>
    </row>
    <row r="52" spans="1:12" x14ac:dyDescent="0.35">
      <c r="A52" s="54"/>
      <c r="B52" s="54"/>
      <c r="C52" s="58"/>
      <c r="D52" s="59"/>
      <c r="E52" s="60"/>
      <c r="F52" s="60"/>
      <c r="G52" s="60"/>
      <c r="H52" s="60"/>
      <c r="I52" s="60"/>
      <c r="J52" s="60"/>
      <c r="K52" s="81"/>
    </row>
    <row r="53" spans="1:12" x14ac:dyDescent="0.35">
      <c r="A53" s="54"/>
      <c r="B53" s="54"/>
      <c r="C53" s="58"/>
      <c r="D53" s="59"/>
      <c r="E53" s="60"/>
      <c r="F53" s="60"/>
      <c r="G53" s="60"/>
      <c r="H53" s="60"/>
      <c r="I53" s="60"/>
      <c r="J53" s="60"/>
      <c r="K53" s="81"/>
    </row>
    <row r="54" spans="1:12" x14ac:dyDescent="0.35">
      <c r="A54" s="54"/>
      <c r="B54" s="54"/>
      <c r="C54" s="58"/>
      <c r="D54" s="59"/>
      <c r="E54" s="60"/>
      <c r="F54" s="60"/>
      <c r="G54" s="60"/>
      <c r="H54" s="60"/>
      <c r="I54" s="60"/>
      <c r="J54" s="60"/>
      <c r="K54" s="81"/>
    </row>
    <row r="55" spans="1:12" x14ac:dyDescent="0.35">
      <c r="A55" s="54"/>
      <c r="B55" s="54"/>
      <c r="C55" s="58"/>
      <c r="D55" s="59"/>
      <c r="E55" s="60"/>
      <c r="F55" s="60"/>
      <c r="G55" s="60"/>
      <c r="H55" s="60"/>
      <c r="I55" s="60"/>
      <c r="J55" s="60"/>
      <c r="K55" s="81"/>
    </row>
    <row r="56" spans="1:12" x14ac:dyDescent="0.35">
      <c r="A56" s="54"/>
      <c r="B56" s="54"/>
      <c r="C56" s="58"/>
      <c r="D56" s="11"/>
      <c r="E56" s="60"/>
      <c r="F56" s="60"/>
      <c r="G56" s="60"/>
      <c r="H56" s="60"/>
      <c r="I56" s="60"/>
      <c r="J56" s="60"/>
      <c r="K56" s="81"/>
    </row>
    <row r="57" spans="1:12" x14ac:dyDescent="0.35">
      <c r="A57" s="54"/>
      <c r="B57" s="54"/>
      <c r="C57" s="58"/>
      <c r="D57" s="11"/>
      <c r="E57" s="60"/>
      <c r="F57" s="60"/>
      <c r="G57" s="60"/>
      <c r="H57" s="60"/>
      <c r="I57" s="60"/>
      <c r="J57" s="60"/>
      <c r="K57" s="81"/>
    </row>
    <row r="58" spans="1:12" x14ac:dyDescent="0.35">
      <c r="A58" s="54"/>
      <c r="B58" s="54"/>
      <c r="C58" s="58"/>
      <c r="D58" s="60"/>
      <c r="E58" s="60"/>
      <c r="F58" s="60"/>
      <c r="G58" s="60"/>
      <c r="H58" s="60"/>
      <c r="I58" s="60"/>
      <c r="J58" s="60"/>
      <c r="K58" s="81"/>
    </row>
    <row r="59" spans="1:12" x14ac:dyDescent="0.35">
      <c r="A59" s="54"/>
      <c r="B59" s="54"/>
      <c r="C59" s="58"/>
      <c r="D59" s="59"/>
      <c r="E59" s="60"/>
      <c r="F59" s="60"/>
      <c r="G59" s="60"/>
      <c r="H59" s="60"/>
      <c r="I59" s="60"/>
      <c r="J59" s="60"/>
      <c r="K59" s="81"/>
    </row>
    <row r="60" spans="1:12" x14ac:dyDescent="0.35">
      <c r="A60" s="54"/>
      <c r="B60" s="54"/>
      <c r="C60" s="58"/>
      <c r="D60" s="11"/>
      <c r="E60" s="60"/>
      <c r="F60" s="60"/>
      <c r="G60" s="60"/>
      <c r="H60" s="60"/>
      <c r="I60" s="60"/>
      <c r="J60" s="60"/>
      <c r="K60" s="81"/>
    </row>
    <row r="61" spans="1:12" x14ac:dyDescent="0.35">
      <c r="A61" s="54"/>
      <c r="B61" s="54"/>
      <c r="C61" s="58"/>
      <c r="D61" s="11"/>
      <c r="E61" s="60"/>
      <c r="F61" s="60"/>
      <c r="G61" s="60"/>
      <c r="H61" s="60"/>
      <c r="I61" s="60"/>
      <c r="J61" s="60"/>
      <c r="K61" s="81"/>
    </row>
    <row r="62" spans="1:12" x14ac:dyDescent="0.35">
      <c r="A62" s="54"/>
      <c r="B62" s="54"/>
      <c r="C62" s="60"/>
      <c r="D62" s="11"/>
      <c r="F62" s="60"/>
      <c r="G62" s="60"/>
      <c r="H62" s="60"/>
      <c r="I62" s="60"/>
      <c r="J62" s="60"/>
      <c r="K62" s="81"/>
    </row>
    <row r="63" spans="1:12" x14ac:dyDescent="0.35">
      <c r="A63" s="54"/>
      <c r="B63" s="54"/>
      <c r="C63" s="60"/>
      <c r="D63" s="11"/>
      <c r="F63" s="60"/>
      <c r="G63" s="60"/>
      <c r="H63" s="60"/>
      <c r="I63" s="60"/>
      <c r="J63" s="60"/>
      <c r="K63" s="81"/>
    </row>
    <row r="64" spans="1:12" x14ac:dyDescent="0.35">
      <c r="A64" s="54"/>
      <c r="B64" s="54"/>
      <c r="C64" s="60"/>
      <c r="D64" s="11"/>
      <c r="F64" s="60"/>
      <c r="G64" s="60"/>
      <c r="H64" s="60"/>
      <c r="I64" s="60"/>
      <c r="J64" s="60"/>
      <c r="K64" s="81"/>
    </row>
    <row r="65" spans="1:11" x14ac:dyDescent="0.35">
      <c r="A65" s="54"/>
      <c r="B65" s="54"/>
      <c r="C65" s="60"/>
      <c r="D65" s="11"/>
      <c r="F65" s="60"/>
      <c r="G65" s="60"/>
      <c r="H65" s="60"/>
      <c r="I65" s="60"/>
      <c r="J65" s="60"/>
      <c r="K65" s="81"/>
    </row>
    <row r="66" spans="1:11" x14ac:dyDescent="0.35">
      <c r="A66" s="54"/>
      <c r="B66" s="54"/>
      <c r="C66" s="60"/>
      <c r="D66" s="11"/>
      <c r="F66" s="60"/>
      <c r="G66" s="60"/>
      <c r="H66" s="60"/>
      <c r="I66" s="60"/>
      <c r="J66" s="60"/>
      <c r="K66" s="81"/>
    </row>
    <row r="67" spans="1:11" x14ac:dyDescent="0.35">
      <c r="A67" s="54"/>
      <c r="B67" s="54"/>
      <c r="C67" s="60"/>
      <c r="D67" s="11"/>
      <c r="F67" s="60"/>
      <c r="G67" s="60"/>
      <c r="H67" s="60"/>
      <c r="I67" s="60"/>
      <c r="J67" s="60"/>
      <c r="K67" s="81"/>
    </row>
    <row r="68" spans="1:11" x14ac:dyDescent="0.35">
      <c r="A68" s="54"/>
      <c r="B68" s="54"/>
      <c r="C68" s="60"/>
      <c r="D68" s="11"/>
      <c r="F68" s="60"/>
      <c r="G68" s="60"/>
      <c r="H68" s="60"/>
      <c r="I68" s="60"/>
      <c r="J68" s="60"/>
      <c r="K68" s="81"/>
    </row>
    <row r="69" spans="1:11" x14ac:dyDescent="0.35">
      <c r="A69" s="54"/>
      <c r="B69" s="54"/>
      <c r="C69" s="60"/>
      <c r="D69" s="11"/>
      <c r="F69" s="60"/>
      <c r="G69" s="60"/>
      <c r="H69" s="60"/>
      <c r="I69" s="60"/>
      <c r="J69" s="60"/>
      <c r="K69" s="81"/>
    </row>
    <row r="70" spans="1:11" x14ac:dyDescent="0.35">
      <c r="A70" s="54"/>
      <c r="B70" s="54"/>
      <c r="C70" s="60"/>
      <c r="D70" s="11"/>
      <c r="F70" s="60"/>
      <c r="G70" s="60"/>
      <c r="H70" s="60"/>
      <c r="I70" s="60"/>
      <c r="J70" s="60"/>
      <c r="K70" s="81"/>
    </row>
    <row r="71" spans="1:11" x14ac:dyDescent="0.35">
      <c r="A71" s="54"/>
      <c r="B71" s="54"/>
      <c r="C71" s="60"/>
      <c r="D71" s="11"/>
      <c r="F71" s="60"/>
      <c r="G71" s="60"/>
      <c r="H71" s="60"/>
      <c r="I71" s="60"/>
      <c r="J71" s="60"/>
      <c r="K71" s="81"/>
    </row>
    <row r="72" spans="1:11" x14ac:dyDescent="0.35">
      <c r="A72" s="54"/>
      <c r="B72" s="54"/>
      <c r="C72" s="60"/>
      <c r="D72" s="60"/>
      <c r="F72" s="60"/>
      <c r="G72" s="60"/>
      <c r="H72" s="60"/>
      <c r="I72" s="60"/>
      <c r="J72" s="60"/>
      <c r="K72" s="81"/>
    </row>
    <row r="73" spans="1:11" x14ac:dyDescent="0.35">
      <c r="A73" s="54"/>
      <c r="B73" s="54"/>
      <c r="C73" s="60"/>
      <c r="D73" s="60"/>
      <c r="F73" s="60"/>
      <c r="G73" s="60"/>
      <c r="H73" s="60"/>
      <c r="I73" s="60"/>
      <c r="J73" s="60"/>
      <c r="K73" s="81"/>
    </row>
    <row r="74" spans="1:11" x14ac:dyDescent="0.35">
      <c r="A74" s="54"/>
      <c r="B74" s="54"/>
      <c r="C74" s="60"/>
      <c r="D74" s="11"/>
      <c r="F74" s="60"/>
      <c r="G74" s="60"/>
      <c r="H74" s="60"/>
      <c r="I74" s="60"/>
      <c r="J74" s="60"/>
      <c r="K74" s="81"/>
    </row>
    <row r="75" spans="1:11" x14ac:dyDescent="0.35">
      <c r="A75" s="54"/>
      <c r="B75" s="54"/>
      <c r="C75" s="60"/>
      <c r="D75" s="11"/>
      <c r="F75" s="60"/>
      <c r="G75" s="60"/>
      <c r="H75" s="60"/>
      <c r="I75" s="60"/>
      <c r="J75" s="60"/>
      <c r="K75" s="81"/>
    </row>
    <row r="76" spans="1:11" x14ac:dyDescent="0.35">
      <c r="A76" s="54"/>
      <c r="B76" s="54"/>
      <c r="C76" s="11"/>
      <c r="D76" s="11"/>
      <c r="G76" s="60"/>
      <c r="H76" s="60"/>
      <c r="I76" s="60"/>
      <c r="J76" s="60"/>
      <c r="K76" s="81"/>
    </row>
    <row r="77" spans="1:11" x14ac:dyDescent="0.35">
      <c r="A77" s="54"/>
      <c r="B77" s="54"/>
      <c r="C77" s="11"/>
      <c r="D77" s="11"/>
      <c r="G77" s="60"/>
      <c r="H77" s="60"/>
      <c r="I77" s="60"/>
      <c r="J77" s="60"/>
      <c r="K77" s="81"/>
    </row>
    <row r="78" spans="1:11" x14ac:dyDescent="0.35">
      <c r="A78" s="54"/>
      <c r="B78" s="54"/>
      <c r="C78" s="11"/>
      <c r="D78" s="11"/>
      <c r="G78" s="60"/>
      <c r="H78" s="60"/>
      <c r="I78" s="60"/>
      <c r="J78" s="60"/>
      <c r="K78" s="81"/>
    </row>
    <row r="79" spans="1:11" x14ac:dyDescent="0.35">
      <c r="A79" s="54"/>
      <c r="B79" s="54"/>
      <c r="C79" s="11"/>
      <c r="D79" s="11"/>
      <c r="G79" s="60"/>
      <c r="H79" s="60"/>
      <c r="I79" s="60"/>
      <c r="J79" s="60"/>
      <c r="K79" s="81"/>
    </row>
    <row r="80" spans="1:11" x14ac:dyDescent="0.35">
      <c r="A80" s="54"/>
      <c r="B80" s="54"/>
      <c r="C80" s="11"/>
      <c r="D80" s="11"/>
      <c r="G80" s="60"/>
      <c r="H80" s="60"/>
      <c r="I80" s="60"/>
      <c r="J80" s="60"/>
      <c r="K80" s="81"/>
    </row>
    <row r="81" spans="1:11" x14ac:dyDescent="0.35">
      <c r="A81" s="54"/>
      <c r="B81" s="54"/>
      <c r="C81" s="60"/>
      <c r="D81" s="11"/>
      <c r="F81" s="60"/>
      <c r="G81" s="60"/>
      <c r="H81" s="60"/>
      <c r="I81" s="60"/>
      <c r="J81" s="60"/>
      <c r="K81" s="81"/>
    </row>
    <row r="82" spans="1:11" x14ac:dyDescent="0.35">
      <c r="A82" s="54"/>
      <c r="B82" s="54"/>
      <c r="C82" s="60"/>
      <c r="D82" s="11"/>
      <c r="F82" s="60"/>
      <c r="G82" s="60"/>
      <c r="H82" s="60"/>
      <c r="I82" s="60"/>
      <c r="J82" s="60"/>
      <c r="K82" s="81"/>
    </row>
    <row r="83" spans="1:11" x14ac:dyDescent="0.35">
      <c r="A83" s="54"/>
      <c r="B83" s="54"/>
      <c r="C83" s="60"/>
      <c r="D83" s="11"/>
      <c r="F83" s="60"/>
      <c r="G83" s="60"/>
      <c r="H83" s="60"/>
      <c r="I83" s="60"/>
      <c r="J83" s="60"/>
      <c r="K83" s="81"/>
    </row>
    <row r="84" spans="1:11" x14ac:dyDescent="0.35">
      <c r="A84" s="54"/>
      <c r="B84" s="54"/>
      <c r="C84" s="60"/>
      <c r="D84" s="11"/>
      <c r="F84" s="60"/>
      <c r="G84" s="60"/>
      <c r="H84" s="60"/>
      <c r="I84" s="60"/>
      <c r="J84" s="60"/>
      <c r="K84" s="81"/>
    </row>
    <row r="85" spans="1:11" x14ac:dyDescent="0.35">
      <c r="A85" s="54"/>
      <c r="B85" s="54"/>
      <c r="C85" s="60"/>
      <c r="D85" s="11"/>
      <c r="F85" s="60"/>
      <c r="G85" s="60"/>
      <c r="H85" s="60"/>
      <c r="I85" s="60"/>
      <c r="J85" s="60"/>
      <c r="K85" s="81"/>
    </row>
    <row r="86" spans="1:11" x14ac:dyDescent="0.35">
      <c r="A86" s="54"/>
      <c r="B86" s="54"/>
      <c r="C86" s="60"/>
      <c r="D86" s="60"/>
      <c r="F86" s="60"/>
      <c r="G86" s="60"/>
      <c r="H86" s="60"/>
      <c r="I86" s="60"/>
      <c r="J86" s="60"/>
      <c r="K86" s="81"/>
    </row>
    <row r="87" spans="1:11" x14ac:dyDescent="0.35">
      <c r="A87" s="54"/>
      <c r="B87" s="54"/>
      <c r="C87" s="60"/>
      <c r="D87" s="60"/>
      <c r="F87" s="60"/>
      <c r="G87" s="60"/>
      <c r="H87" s="60"/>
      <c r="I87" s="60"/>
      <c r="J87" s="60"/>
      <c r="K87" s="81"/>
    </row>
    <row r="88" spans="1:11" x14ac:dyDescent="0.35">
      <c r="A88" s="54"/>
      <c r="B88" s="54"/>
      <c r="C88" s="60"/>
      <c r="D88" s="60"/>
      <c r="F88" s="60"/>
      <c r="G88" s="60"/>
      <c r="H88" s="60"/>
      <c r="I88" s="60"/>
      <c r="J88" s="60"/>
      <c r="K88" s="81"/>
    </row>
    <row r="89" spans="1:11" x14ac:dyDescent="0.35">
      <c r="A89" s="54"/>
      <c r="B89" s="54"/>
      <c r="C89" s="58"/>
      <c r="D89" s="81"/>
      <c r="E89" s="60"/>
      <c r="F89" s="60"/>
      <c r="G89" s="60"/>
      <c r="H89" s="60"/>
      <c r="I89" s="60"/>
      <c r="J89" s="60"/>
      <c r="K89" s="81"/>
    </row>
    <row r="90" spans="1:11" x14ac:dyDescent="0.35">
      <c r="A90" s="54"/>
      <c r="B90" s="54"/>
      <c r="D90" s="11"/>
    </row>
    <row r="91" spans="1:11" x14ac:dyDescent="0.35">
      <c r="A91" s="54"/>
      <c r="B91" s="54"/>
      <c r="D91" s="11"/>
    </row>
    <row r="92" spans="1:11" x14ac:dyDescent="0.35">
      <c r="D92" s="11"/>
    </row>
    <row r="93" spans="1:11" x14ac:dyDescent="0.35">
      <c r="D93" s="11"/>
    </row>
    <row r="94" spans="1:11" x14ac:dyDescent="0.35">
      <c r="D94" s="11"/>
    </row>
    <row r="95" spans="1:11" x14ac:dyDescent="0.35">
      <c r="D95" s="11"/>
    </row>
    <row r="96" spans="1:11" x14ac:dyDescent="0.35">
      <c r="D96" s="11"/>
    </row>
    <row r="97" spans="4:11" x14ac:dyDescent="0.35">
      <c r="D97" s="11"/>
      <c r="H97" s="53"/>
      <c r="K97" s="53"/>
    </row>
    <row r="98" spans="4:11" x14ac:dyDescent="0.35">
      <c r="D98" s="11"/>
      <c r="H98" s="53"/>
      <c r="K98" s="53"/>
    </row>
    <row r="99" spans="4:11" x14ac:dyDescent="0.35">
      <c r="D99" s="11"/>
      <c r="H99" s="53"/>
      <c r="K99" s="53"/>
    </row>
    <row r="100" spans="4:11" x14ac:dyDescent="0.35">
      <c r="D100" s="11"/>
      <c r="H100" s="53"/>
      <c r="K100" s="53"/>
    </row>
    <row r="101" spans="4:11" x14ac:dyDescent="0.35">
      <c r="D101" s="11"/>
      <c r="H101" s="53"/>
      <c r="K101" s="53"/>
    </row>
    <row r="102" spans="4:11" x14ac:dyDescent="0.35">
      <c r="D102" s="11"/>
      <c r="H102" s="53"/>
      <c r="K102" s="53"/>
    </row>
    <row r="103" spans="4:11" x14ac:dyDescent="0.35">
      <c r="D103" s="11"/>
      <c r="H103" s="53"/>
      <c r="K103" s="53"/>
    </row>
    <row r="104" spans="4:11" x14ac:dyDescent="0.35">
      <c r="D104" s="11"/>
      <c r="H104" s="53"/>
      <c r="K104" s="53"/>
    </row>
    <row r="105" spans="4:11" x14ac:dyDescent="0.35">
      <c r="D105" s="11"/>
      <c r="H105" s="53"/>
      <c r="K105" s="53"/>
    </row>
    <row r="106" spans="4:11" x14ac:dyDescent="0.35">
      <c r="D106" s="11"/>
      <c r="H106" s="53"/>
      <c r="K106" s="53"/>
    </row>
    <row r="107" spans="4:11" x14ac:dyDescent="0.35">
      <c r="D107" s="11"/>
      <c r="H107" s="53"/>
      <c r="K107" s="53"/>
    </row>
    <row r="108" spans="4:11" x14ac:dyDescent="0.35">
      <c r="D108" s="11"/>
      <c r="F108" s="53"/>
    </row>
    <row r="109" spans="4:11" x14ac:dyDescent="0.35">
      <c r="D109" s="11"/>
    </row>
    <row r="110" spans="4:11" x14ac:dyDescent="0.35">
      <c r="D110" s="11"/>
    </row>
    <row r="111" spans="4:11" x14ac:dyDescent="0.35">
      <c r="D111" s="11"/>
    </row>
    <row r="112" spans="4:11" x14ac:dyDescent="0.35">
      <c r="D112" s="11"/>
    </row>
    <row r="113" spans="4:4" x14ac:dyDescent="0.35">
      <c r="D113" s="11"/>
    </row>
    <row r="114" spans="4:4" x14ac:dyDescent="0.35">
      <c r="D114" s="11"/>
    </row>
    <row r="115" spans="4:4" x14ac:dyDescent="0.35">
      <c r="D115" s="11"/>
    </row>
  </sheetData>
  <conditionalFormatting sqref="A22:B48">
    <cfRule type="expression" dxfId="23" priority="28" stopIfTrue="1">
      <formula>IF(OR($A22="",$A22=1),1,0)</formula>
    </cfRule>
    <cfRule type="cellIs" dxfId="22" priority="29" operator="lessThan">
      <formula>100</formula>
    </cfRule>
    <cfRule type="cellIs" dxfId="21" priority="30" operator="greaterThan">
      <formula>100</formula>
    </cfRule>
  </conditionalFormatting>
  <conditionalFormatting sqref="A37:B47">
    <cfRule type="expression" dxfId="20" priority="2" stopIfTrue="1">
      <formula>IF(OR($A37="",$A37=1),1,0)</formula>
    </cfRule>
    <cfRule type="cellIs" dxfId="19" priority="3" operator="lessThan">
      <formula>100</formula>
    </cfRule>
    <cfRule type="cellIs" dxfId="18" priority="4" operator="greaterThan">
      <formula>100</formula>
    </cfRule>
  </conditionalFormatting>
  <conditionalFormatting sqref="B52:B58 B83:B91">
    <cfRule type="expression" dxfId="17" priority="27">
      <formula>IF($D50=0,1,0)</formula>
    </cfRule>
  </conditionalFormatting>
  <conditionalFormatting sqref="B59 B61 B63 B65:B67 B81">
    <cfRule type="expression" dxfId="16" priority="34">
      <formula>IF(#REF!=0,1,0)</formula>
    </cfRule>
  </conditionalFormatting>
  <conditionalFormatting sqref="B60">
    <cfRule type="expression" dxfId="15" priority="41">
      <formula>IF($D57=0,1,0)</formula>
    </cfRule>
  </conditionalFormatting>
  <conditionalFormatting sqref="B62">
    <cfRule type="expression" dxfId="14" priority="51">
      <formula>IF($D58=0,1,0)</formula>
    </cfRule>
  </conditionalFormatting>
  <conditionalFormatting sqref="B64">
    <cfRule type="expression" dxfId="13" priority="59">
      <formula>IF($D59=0,1,0)</formula>
    </cfRule>
  </conditionalFormatting>
  <conditionalFormatting sqref="B68:B80">
    <cfRule type="expression" dxfId="12" priority="52">
      <formula>IF($D60=0,1,0)</formula>
    </cfRule>
  </conditionalFormatting>
  <conditionalFormatting sqref="B82">
    <cfRule type="expression" dxfId="11" priority="60">
      <formula>IF($D73=0,1,0)</formula>
    </cfRule>
  </conditionalFormatting>
  <conditionalFormatting sqref="D22:D45">
    <cfRule type="expression" dxfId="10" priority="1">
      <formula>IF($F22=0,1,0)</formula>
    </cfRule>
  </conditionalFormatting>
  <conditionalFormatting sqref="D46:D49">
    <cfRule type="expression" dxfId="9" priority="31">
      <formula>IF($F46=0,1,0)</formula>
    </cfRule>
  </conditionalFormatting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>
      <selection activeCell="C11" sqref="C11"/>
    </sheetView>
  </sheetViews>
  <sheetFormatPr defaultRowHeight="14.5" x14ac:dyDescent="0.35"/>
  <cols>
    <col min="1" max="1" width="18.54296875" bestFit="1" customWidth="1"/>
    <col min="2" max="2" width="18.453125" bestFit="1" customWidth="1"/>
  </cols>
  <sheetData>
    <row r="1" spans="1:2" x14ac:dyDescent="0.35">
      <c r="A1" t="s">
        <v>18</v>
      </c>
      <c r="B1" t="s">
        <v>112</v>
      </c>
    </row>
    <row r="2" spans="1:2" x14ac:dyDescent="0.35">
      <c r="A2" t="s">
        <v>87</v>
      </c>
      <c r="B2">
        <v>0.216</v>
      </c>
    </row>
    <row r="3" spans="1:2" x14ac:dyDescent="0.35">
      <c r="A3" t="s">
        <v>33</v>
      </c>
      <c r="B3">
        <v>0.251</v>
      </c>
    </row>
    <row r="4" spans="1:2" x14ac:dyDescent="0.35">
      <c r="A4" t="s">
        <v>35</v>
      </c>
      <c r="B4">
        <v>0.379</v>
      </c>
    </row>
    <row r="5" spans="1:2" x14ac:dyDescent="0.35">
      <c r="A5" t="s">
        <v>26</v>
      </c>
      <c r="B5">
        <v>0.28699999999999998</v>
      </c>
    </row>
    <row r="6" spans="1:2" x14ac:dyDescent="0.35">
      <c r="A6" t="s">
        <v>85</v>
      </c>
      <c r="B6">
        <v>0</v>
      </c>
    </row>
    <row r="7" spans="1:2" x14ac:dyDescent="0.35">
      <c r="A7" t="s">
        <v>80</v>
      </c>
      <c r="B7">
        <v>0</v>
      </c>
    </row>
    <row r="8" spans="1:2" x14ac:dyDescent="0.35">
      <c r="A8" t="s">
        <v>83</v>
      </c>
      <c r="B8">
        <v>0</v>
      </c>
    </row>
    <row r="9" spans="1:2" x14ac:dyDescent="0.35">
      <c r="A9" t="s">
        <v>29</v>
      </c>
      <c r="B9">
        <v>0.28699999999999998</v>
      </c>
    </row>
    <row r="10" spans="1:2" x14ac:dyDescent="0.35">
      <c r="A10" t="s">
        <v>31</v>
      </c>
      <c r="B10">
        <v>0.33700000000000002</v>
      </c>
    </row>
    <row r="11" spans="1:2" x14ac:dyDescent="0.35">
      <c r="A11" t="s">
        <v>46</v>
      </c>
      <c r="B11">
        <v>0</v>
      </c>
    </row>
    <row r="12" spans="1:2" x14ac:dyDescent="0.35">
      <c r="A12" t="s">
        <v>39</v>
      </c>
      <c r="B12">
        <v>1.7999999999999999E-2</v>
      </c>
    </row>
    <row r="13" spans="1:2" x14ac:dyDescent="0.35">
      <c r="A13" t="s">
        <v>67</v>
      </c>
      <c r="B13">
        <v>0</v>
      </c>
    </row>
    <row r="14" spans="1:2" x14ac:dyDescent="0.35">
      <c r="A14" t="s">
        <v>60</v>
      </c>
      <c r="B14">
        <v>0.35899999999999999</v>
      </c>
    </row>
    <row r="15" spans="1:2" x14ac:dyDescent="0.35">
      <c r="A15" t="s">
        <v>69</v>
      </c>
      <c r="B15">
        <v>0.33700000000000002</v>
      </c>
    </row>
    <row r="16" spans="1:2" x14ac:dyDescent="0.35">
      <c r="A16" t="s">
        <v>56</v>
      </c>
      <c r="B16">
        <v>2.1000000000000001E-2</v>
      </c>
    </row>
    <row r="17" spans="1:2" x14ac:dyDescent="0.35">
      <c r="A17" t="s">
        <v>61</v>
      </c>
      <c r="B17">
        <v>0.29499999999999998</v>
      </c>
    </row>
    <row r="18" spans="1:2" x14ac:dyDescent="0.35">
      <c r="A18" t="s">
        <v>65</v>
      </c>
      <c r="B18">
        <v>0.28699999999999998</v>
      </c>
    </row>
    <row r="19" spans="1:2" x14ac:dyDescent="0.35">
      <c r="A19" t="s">
        <v>42</v>
      </c>
      <c r="B19">
        <v>0</v>
      </c>
    </row>
    <row r="20" spans="1:2" x14ac:dyDescent="0.35">
      <c r="A20" t="s">
        <v>74</v>
      </c>
      <c r="B20">
        <v>0</v>
      </c>
    </row>
    <row r="21" spans="1:2" x14ac:dyDescent="0.35">
      <c r="A21" t="s">
        <v>71</v>
      </c>
      <c r="B21">
        <v>0</v>
      </c>
    </row>
    <row r="22" spans="1:2" x14ac:dyDescent="0.35">
      <c r="A22" t="s">
        <v>78</v>
      </c>
      <c r="B22">
        <v>0</v>
      </c>
    </row>
    <row r="23" spans="1:2" x14ac:dyDescent="0.35">
      <c r="A23" t="s">
        <v>76</v>
      </c>
      <c r="B23">
        <v>0</v>
      </c>
    </row>
    <row r="24" spans="1:2" x14ac:dyDescent="0.35">
      <c r="A24" t="s">
        <v>73</v>
      </c>
      <c r="B24">
        <v>0</v>
      </c>
    </row>
    <row r="25" spans="1:2" x14ac:dyDescent="0.35">
      <c r="A25" t="s">
        <v>58</v>
      </c>
      <c r="B25">
        <v>3.5999999999999997E-2</v>
      </c>
    </row>
    <row r="26" spans="1:2" x14ac:dyDescent="0.35">
      <c r="A26" t="s">
        <v>52</v>
      </c>
      <c r="B26">
        <v>2.1000000000000001E-2</v>
      </c>
    </row>
    <row r="27" spans="1:2" x14ac:dyDescent="0.35">
      <c r="A27" t="s">
        <v>63</v>
      </c>
      <c r="B27">
        <v>0</v>
      </c>
    </row>
    <row r="28" spans="1:2" x14ac:dyDescent="0.35">
      <c r="A28" t="s">
        <v>48</v>
      </c>
      <c r="B28">
        <v>1.7999999999999999E-2</v>
      </c>
    </row>
    <row r="29" spans="1:2" x14ac:dyDescent="0.35">
      <c r="A29" t="s">
        <v>37</v>
      </c>
      <c r="B29">
        <v>0.251</v>
      </c>
    </row>
    <row r="30" spans="1:2" x14ac:dyDescent="0.35">
      <c r="A30" t="s">
        <v>114</v>
      </c>
      <c r="B30">
        <v>1.7999999999999999E-2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5"/>
  <sheetViews>
    <sheetView topLeftCell="A2" zoomScale="70" zoomScaleNormal="70" workbookViewId="0">
      <pane xSplit="1" topLeftCell="B1" activePane="topRight" state="frozen"/>
      <selection pane="topRight" activeCell="AX25" sqref="AX25"/>
    </sheetView>
  </sheetViews>
  <sheetFormatPr defaultColWidth="9" defaultRowHeight="14.5" x14ac:dyDescent="0.35"/>
  <cols>
    <col min="1" max="1" width="18.54296875" customWidth="1"/>
    <col min="2" max="55" width="9.81640625" customWidth="1"/>
  </cols>
  <sheetData>
    <row r="1" spans="1:57" ht="15" hidden="1" customHeight="1" thickBot="1" x14ac:dyDescent="0.4">
      <c r="B1" s="219" t="str">
        <f>B2</f>
        <v>abl_act_xs</v>
      </c>
      <c r="C1" s="220"/>
      <c r="D1" s="208" t="str">
        <f>D2</f>
        <v>sspnd_app_cell_0s</v>
      </c>
      <c r="E1" s="206"/>
      <c r="F1" s="205" t="str">
        <f>F2</f>
        <v>sspnd_app_wifi_0s</v>
      </c>
      <c r="G1" s="206"/>
      <c r="H1" s="209" t="str">
        <f>H2</f>
        <v>edge_fb_2s</v>
      </c>
      <c r="I1" s="210"/>
      <c r="J1" s="208" t="str">
        <f>J2</f>
        <v>edge_1s</v>
      </c>
      <c r="K1" s="206"/>
      <c r="L1" s="205" t="str">
        <f>L2</f>
        <v>facebook_1s</v>
      </c>
      <c r="M1" s="206"/>
      <c r="N1" s="205" t="str">
        <f>N2</f>
        <v>idle_home_2s</v>
      </c>
      <c r="O1" s="206"/>
      <c r="P1" s="205" t="str">
        <f>P2</f>
        <v>instagram_1s</v>
      </c>
      <c r="Q1" s="206"/>
      <c r="R1" s="209" t="str">
        <f>R2</f>
        <v>instagram_2s</v>
      </c>
      <c r="S1" s="210"/>
      <c r="T1" s="205" t="str">
        <f>T2</f>
        <v>local_audio_0s</v>
      </c>
      <c r="U1" s="206"/>
      <c r="V1" s="205" t="str">
        <f>V2</f>
        <v>local_video_1s</v>
      </c>
      <c r="W1" s="206"/>
      <c r="X1" s="205" t="str">
        <f>X2</f>
        <v>maps_1s</v>
      </c>
      <c r="Y1" s="206"/>
      <c r="Z1" s="205" t="str">
        <f>Z2</f>
        <v>minecraft_1s</v>
      </c>
      <c r="AA1" s="206"/>
      <c r="AB1" s="205" t="str">
        <f>AB2</f>
        <v>os_nav_2s</v>
      </c>
      <c r="AC1" s="206"/>
      <c r="AD1" s="205" t="str">
        <f>AD2</f>
        <v>photo_pre_2s</v>
      </c>
      <c r="AE1" s="206"/>
      <c r="AF1" s="205" t="str">
        <f>AF2</f>
        <v>abl_prod_2s</v>
      </c>
      <c r="AG1" s="206"/>
      <c r="AH1" s="205" t="str">
        <f>AH2</f>
        <v>sms_1s</v>
      </c>
      <c r="AI1" s="206"/>
      <c r="AJ1" s="207" t="str">
        <f>AJ2</f>
        <v>spotify_0s</v>
      </c>
      <c r="AK1" s="206"/>
      <c r="AL1" s="205" t="str">
        <f>AL2</f>
        <v>sspnd_idl_apm_0s</v>
      </c>
      <c r="AM1" s="206"/>
      <c r="AN1" s="205" t="str">
        <f>AN2</f>
        <v>teams_video_1s</v>
      </c>
      <c r="AO1" s="206"/>
      <c r="AP1" s="205" t="str">
        <f>AP2</f>
        <v>video_capture_w_2s</v>
      </c>
      <c r="AQ1" s="206"/>
      <c r="AR1" s="205" t="str">
        <f>AR2</f>
        <v>voice_0s</v>
      </c>
      <c r="AS1" s="206"/>
      <c r="AT1" s="205" t="str">
        <f>AT2</f>
        <v>youtube_1s</v>
      </c>
      <c r="AU1" s="206"/>
      <c r="AV1" s="205" t="str">
        <f>AV2</f>
        <v>sspnd_idl_wifi_0s</v>
      </c>
      <c r="AW1" s="206"/>
      <c r="AX1" s="205" t="str">
        <f>AX2</f>
        <v>sspnd_idl_cell_0s</v>
      </c>
      <c r="AY1" s="206"/>
      <c r="AZ1" s="205" t="str">
        <f>AZ2</f>
        <v>idle_home_1s</v>
      </c>
      <c r="BA1" s="206"/>
      <c r="BB1" s="205" t="str">
        <f>BB2</f>
        <v>idle_home_apm_2s</v>
      </c>
      <c r="BC1" s="206"/>
    </row>
    <row r="2" spans="1:57" ht="15" customHeight="1" thickBot="1" x14ac:dyDescent="0.4">
      <c r="A2" s="66" t="s">
        <v>2</v>
      </c>
      <c r="B2" s="221" t="s">
        <v>140</v>
      </c>
      <c r="C2" s="222"/>
      <c r="D2" s="229" t="s">
        <v>74</v>
      </c>
      <c r="E2" s="207"/>
      <c r="F2" s="230" t="s">
        <v>71</v>
      </c>
      <c r="G2" s="207"/>
      <c r="H2" s="230" t="s">
        <v>142</v>
      </c>
      <c r="I2" s="207"/>
      <c r="J2" s="230" t="s">
        <v>33</v>
      </c>
      <c r="K2" s="207"/>
      <c r="L2" s="230" t="s">
        <v>26</v>
      </c>
      <c r="M2" s="207"/>
      <c r="N2" s="229" t="s">
        <v>80</v>
      </c>
      <c r="O2" s="207"/>
      <c r="P2" s="229" t="s">
        <v>29</v>
      </c>
      <c r="Q2" s="207"/>
      <c r="R2" s="230" t="s">
        <v>31</v>
      </c>
      <c r="S2" s="207"/>
      <c r="T2" s="230" t="s">
        <v>46</v>
      </c>
      <c r="U2" s="207"/>
      <c r="V2" s="230" t="s">
        <v>39</v>
      </c>
      <c r="W2" s="207"/>
      <c r="X2" s="230" t="s">
        <v>67</v>
      </c>
      <c r="Y2" s="207"/>
      <c r="Z2" s="230" t="s">
        <v>60</v>
      </c>
      <c r="AA2" s="207"/>
      <c r="AB2" s="230" t="s">
        <v>69</v>
      </c>
      <c r="AC2" s="207"/>
      <c r="AD2" s="230" t="s">
        <v>143</v>
      </c>
      <c r="AE2" s="207"/>
      <c r="AF2" s="230" t="s">
        <v>141</v>
      </c>
      <c r="AG2" s="207"/>
      <c r="AH2" s="230" t="s">
        <v>65</v>
      </c>
      <c r="AI2" s="207"/>
      <c r="AJ2" s="230" t="s">
        <v>42</v>
      </c>
      <c r="AK2" s="207"/>
      <c r="AL2" s="230" t="s">
        <v>78</v>
      </c>
      <c r="AM2" s="207"/>
      <c r="AN2" s="230" t="s">
        <v>58</v>
      </c>
      <c r="AO2" s="207"/>
      <c r="AP2" s="230" t="s">
        <v>52</v>
      </c>
      <c r="AQ2" s="207"/>
      <c r="AR2" s="230" t="s">
        <v>63</v>
      </c>
      <c r="AS2" s="207"/>
      <c r="AT2" s="230" t="s">
        <v>48</v>
      </c>
      <c r="AU2" s="207"/>
      <c r="AV2" s="230" t="s">
        <v>73</v>
      </c>
      <c r="AW2" s="207"/>
      <c r="AX2" s="230" t="s">
        <v>76</v>
      </c>
      <c r="AY2" s="207"/>
      <c r="AZ2" s="230" t="s">
        <v>85</v>
      </c>
      <c r="BA2" s="207"/>
      <c r="BB2" s="230" t="s">
        <v>83</v>
      </c>
      <c r="BC2" s="207"/>
    </row>
    <row r="3" spans="1:57" ht="15" customHeight="1" thickBot="1" x14ac:dyDescent="0.4">
      <c r="A3" s="149" t="s">
        <v>115</v>
      </c>
      <c r="B3" s="151" t="s">
        <v>116</v>
      </c>
      <c r="C3" s="152" t="s">
        <v>117</v>
      </c>
      <c r="D3" s="150" t="s">
        <v>116</v>
      </c>
      <c r="E3" s="90" t="s">
        <v>117</v>
      </c>
      <c r="F3" s="90" t="s">
        <v>116</v>
      </c>
      <c r="G3" s="90" t="s">
        <v>117</v>
      </c>
      <c r="H3" s="90" t="s">
        <v>116</v>
      </c>
      <c r="I3" s="90" t="s">
        <v>117</v>
      </c>
      <c r="J3" s="90" t="s">
        <v>116</v>
      </c>
      <c r="K3" s="90" t="s">
        <v>117</v>
      </c>
      <c r="L3" s="90" t="s">
        <v>116</v>
      </c>
      <c r="M3" s="90" t="s">
        <v>117</v>
      </c>
      <c r="N3" s="90" t="s">
        <v>116</v>
      </c>
      <c r="O3" s="90" t="s">
        <v>117</v>
      </c>
      <c r="P3" s="90" t="s">
        <v>116</v>
      </c>
      <c r="Q3" s="90" t="s">
        <v>117</v>
      </c>
      <c r="R3" s="90" t="s">
        <v>116</v>
      </c>
      <c r="S3" s="90" t="s">
        <v>117</v>
      </c>
      <c r="T3" s="90" t="s">
        <v>116</v>
      </c>
      <c r="U3" s="90" t="s">
        <v>117</v>
      </c>
      <c r="V3" s="90" t="s">
        <v>116</v>
      </c>
      <c r="W3" s="90" t="s">
        <v>117</v>
      </c>
      <c r="X3" s="90" t="s">
        <v>116</v>
      </c>
      <c r="Y3" s="90" t="s">
        <v>117</v>
      </c>
      <c r="Z3" s="90" t="s">
        <v>116</v>
      </c>
      <c r="AA3" s="90" t="s">
        <v>117</v>
      </c>
      <c r="AB3" s="90" t="s">
        <v>116</v>
      </c>
      <c r="AC3" s="90" t="s">
        <v>117</v>
      </c>
      <c r="AD3" s="90" t="s">
        <v>116</v>
      </c>
      <c r="AE3" s="90" t="s">
        <v>117</v>
      </c>
      <c r="AF3" s="90" t="s">
        <v>116</v>
      </c>
      <c r="AG3" s="90" t="s">
        <v>117</v>
      </c>
      <c r="AH3" s="90" t="s">
        <v>116</v>
      </c>
      <c r="AI3" s="90" t="s">
        <v>117</v>
      </c>
      <c r="AJ3" s="150" t="s">
        <v>116</v>
      </c>
      <c r="AK3" s="90" t="s">
        <v>117</v>
      </c>
      <c r="AL3" s="90" t="s">
        <v>116</v>
      </c>
      <c r="AM3" s="90" t="s">
        <v>117</v>
      </c>
      <c r="AN3" s="90" t="s">
        <v>116</v>
      </c>
      <c r="AO3" s="90" t="s">
        <v>117</v>
      </c>
      <c r="AP3" s="90" t="s">
        <v>116</v>
      </c>
      <c r="AQ3" s="90" t="s">
        <v>117</v>
      </c>
      <c r="AR3" s="90" t="s">
        <v>116</v>
      </c>
      <c r="AS3" s="90" t="s">
        <v>117</v>
      </c>
      <c r="AT3" s="90" t="s">
        <v>116</v>
      </c>
      <c r="AU3" s="90" t="s">
        <v>117</v>
      </c>
      <c r="AV3" s="90" t="s">
        <v>116</v>
      </c>
      <c r="AW3" s="90" t="s">
        <v>117</v>
      </c>
      <c r="AX3" s="90" t="s">
        <v>116</v>
      </c>
      <c r="AY3" s="90" t="s">
        <v>117</v>
      </c>
      <c r="AZ3" s="90" t="s">
        <v>116</v>
      </c>
      <c r="BA3" s="90" t="s">
        <v>117</v>
      </c>
      <c r="BB3" s="90" t="s">
        <v>116</v>
      </c>
      <c r="BC3" s="90" t="s">
        <v>117</v>
      </c>
    </row>
    <row r="4" spans="1:57" ht="15" customHeight="1" thickBot="1" x14ac:dyDescent="0.4">
      <c r="A4" s="213" t="s">
        <v>118</v>
      </c>
      <c r="B4" s="223">
        <v>475</v>
      </c>
      <c r="C4" s="224" t="str">
        <f>IFERROR(HLOOKUP(B$2,'Power Summary'!$B$1:$BS$24,MATCH($A4,'Power Summary'!$A:$A,0), FALSE), "")</f>
        <v/>
      </c>
      <c r="D4" s="217">
        <v>20</v>
      </c>
      <c r="E4" s="91" t="str">
        <f>IFERROR(HLOOKUP(D$2,'Power Summary'!$B$1:$BS$24,MATCH($A4,'Power Summary'!$A:$A,0), FALSE), "")</f>
        <v/>
      </c>
      <c r="F4" s="107">
        <v>21.3</v>
      </c>
      <c r="G4" s="92" t="str">
        <f>IFERROR(HLOOKUP(F$2,'Power Summary'!$B$1:$BS$24,MATCH($A4,'Power Summary'!$A:$A,0), FALSE), "")</f>
        <v/>
      </c>
      <c r="H4" s="103">
        <v>525</v>
      </c>
      <c r="I4" s="153" t="str">
        <f>IFERROR(HLOOKUP(H$2,'Power Summary'!$B$1:$BS$24,MATCH($A4,'Power Summary'!$A:$A,0), FALSE), "")</f>
        <v/>
      </c>
      <c r="J4" s="107">
        <v>465.5</v>
      </c>
      <c r="K4" s="92" t="str">
        <f>IFERROR(HLOOKUP(J$2,'Power Summary'!$B$1:$BS$24,MATCH($A4,'Power Summary'!$A:$A,0), FALSE), "")</f>
        <v/>
      </c>
      <c r="L4" s="103">
        <v>350</v>
      </c>
      <c r="M4" s="153" t="str">
        <f>IFERROR(HLOOKUP(L$2,'Power Summary'!$B$1:$BS$24,MATCH($A4,'Power Summary'!$A:$A,0), FALSE), "")</f>
        <v/>
      </c>
      <c r="N4" s="107">
        <v>110</v>
      </c>
      <c r="O4" s="92" t="str">
        <f>IFERROR(HLOOKUP(N$2,'Power Summary'!$B$1:$BS$24,MATCH($A4,'Power Summary'!$A:$A,0), FALSE), "")</f>
        <v/>
      </c>
      <c r="P4" s="103">
        <v>360</v>
      </c>
      <c r="Q4" s="153" t="str">
        <f>IFERROR(HLOOKUP(P$2,'Power Summary'!$B$1:$BS$24,MATCH($A4,'Power Summary'!$A:$A,0), FALSE), "")</f>
        <v/>
      </c>
      <c r="R4" s="107">
        <v>340</v>
      </c>
      <c r="S4" s="92" t="str">
        <f>IFERROR(HLOOKUP(R$2,'Power Summary'!$B$1:$BS$24,MATCH($A4,'Power Summary'!$A:$A,0), FALSE), "")</f>
        <v/>
      </c>
      <c r="T4" s="103">
        <v>160</v>
      </c>
      <c r="U4" s="153" t="str">
        <f>IFERROR(HLOOKUP(T$2,'Power Summary'!$B$1:$BS$24,MATCH($A4,'Power Summary'!$A:$A,0), FALSE), "")</f>
        <v/>
      </c>
      <c r="V4" s="107">
        <v>310</v>
      </c>
      <c r="W4" s="92" t="str">
        <f>IFERROR(HLOOKUP(V$2,'Power Summary'!$B$1:$BS$24,MATCH($A4,'Power Summary'!$A:$A,0), FALSE), "")</f>
        <v/>
      </c>
      <c r="X4" s="103">
        <v>560</v>
      </c>
      <c r="Y4" s="91" t="str">
        <f>IFERROR(HLOOKUP(X$2,'Power Summary'!$B$1:$BS$24,MATCH($A4,'Power Summary'!$A:$A,0), FALSE), "")</f>
        <v/>
      </c>
      <c r="Z4" s="107">
        <v>1400</v>
      </c>
      <c r="AA4" s="154" t="str">
        <f>IFERROR(HLOOKUP(Z$2,'Power Summary'!$B$1:$BS$24,MATCH($A4,'Power Summary'!$A:$A,0), FALSE), "")</f>
        <v/>
      </c>
      <c r="AB4" s="103">
        <v>545</v>
      </c>
      <c r="AC4" s="153" t="str">
        <f>IFERROR(HLOOKUP(AB$2,'Power Summary'!$B$1:$BS$24,MATCH($A4,'Power Summary'!$A:$A,0), FALSE), "")</f>
        <v/>
      </c>
      <c r="AD4" s="107">
        <v>900</v>
      </c>
      <c r="AE4" s="92" t="str">
        <f>IFERROR(HLOOKUP(AD$2,'Power Summary'!$B$1:$BS$24,MATCH($A4,'Power Summary'!$A:$A,0), FALSE), "")</f>
        <v/>
      </c>
      <c r="AF4" s="103">
        <v>590</v>
      </c>
      <c r="AG4" s="153" t="str">
        <f>IFERROR(HLOOKUP(AF$2,'Power Summary'!$B$1:$BS$24,MATCH($A4,'Power Summary'!$A:$A,0), FALSE), "")</f>
        <v/>
      </c>
      <c r="AH4" s="107">
        <v>430</v>
      </c>
      <c r="AI4" s="92" t="str">
        <f>IFERROR(HLOOKUP(AH$2,'Power Summary'!$B$1:$BS$24,MATCH($A4,'Power Summary'!$A:$A,0), FALSE), "")</f>
        <v/>
      </c>
      <c r="AJ4" s="103">
        <v>175</v>
      </c>
      <c r="AK4" s="153" t="str">
        <f>IFERROR(HLOOKUP(AJ$2,'Power Summary'!$B$1:$BS$24,MATCH($A4,'Power Summary'!$A:$A,0), FALSE), "")</f>
        <v/>
      </c>
      <c r="AL4" s="107">
        <v>13</v>
      </c>
      <c r="AM4" s="92" t="str">
        <f>IFERROR(HLOOKUP(AL$2,'Power Summary'!$B$1:$BS$24,MATCH($A4,'Power Summary'!$A:$A,0), FALSE), "")</f>
        <v/>
      </c>
      <c r="AN4" s="103">
        <v>965</v>
      </c>
      <c r="AO4" s="91" t="str">
        <f>IFERROR(HLOOKUP(AN$2,'Power Summary'!$B$1:$BS$24,MATCH($A4,'Power Summary'!$A:$A,0), FALSE), "")</f>
        <v/>
      </c>
      <c r="AP4" s="107">
        <v>1500</v>
      </c>
      <c r="AQ4" s="92" t="str">
        <f>IFERROR(HLOOKUP(AP$2,'Power Summary'!$B$1:$BS$24,MATCH($A4,'Power Summary'!$A:$A,0), FALSE), "")</f>
        <v/>
      </c>
      <c r="AR4" s="103">
        <v>310</v>
      </c>
      <c r="AS4" s="153" t="str">
        <f>IFERROR(HLOOKUP(AR$2,'Power Summary'!$B$1:$BS$24,MATCH($A4,'Power Summary'!$A:$A,0), FALSE), "")</f>
        <v/>
      </c>
      <c r="AT4" s="107">
        <v>300</v>
      </c>
      <c r="AU4" s="92" t="str">
        <f>IFERROR(HLOOKUP(AT$2,'Power Summary'!$B$1:$BS$24,MATCH($A4,'Power Summary'!$A:$A,0), FALSE), "")</f>
        <v/>
      </c>
      <c r="AV4" s="103">
        <v>17</v>
      </c>
      <c r="AW4" s="153" t="str">
        <f>IFERROR(HLOOKUP(AV$2,'Power Summary'!$B$1:$BS$24,MATCH($A4,'Power Summary'!$A:$A,0), FALSE), "")</f>
        <v/>
      </c>
      <c r="AX4" s="107">
        <v>25</v>
      </c>
      <c r="AY4" s="92" t="str">
        <f>IFERROR(HLOOKUP(AX$2,'Power Summary'!$B$1:$BS$24,MATCH($A4,'Power Summary'!$A:$A,0), FALSE), "")</f>
        <v/>
      </c>
      <c r="AZ4" s="103">
        <v>110</v>
      </c>
      <c r="BA4" s="153" t="str">
        <f>IFERROR(HLOOKUP(AZ$2,'Power Summary'!$B$1:$BS$24,MATCH($A4,'Power Summary'!$A:$A,0), FALSE), "")</f>
        <v/>
      </c>
      <c r="BB4" s="107">
        <v>45</v>
      </c>
      <c r="BC4" s="92" t="str">
        <f>IFERROR(HLOOKUP(BB$2,'Power Summary'!$B$1:$BS$24,MATCH($A4,'Power Summary'!$A:$A,0), FALSE), "")</f>
        <v/>
      </c>
      <c r="BD4" s="115"/>
      <c r="BE4" s="116"/>
    </row>
    <row r="5" spans="1:57" ht="15" customHeight="1" thickBot="1" x14ac:dyDescent="0.4">
      <c r="A5" s="214" t="s">
        <v>119</v>
      </c>
      <c r="B5" s="223">
        <v>58</v>
      </c>
      <c r="C5" s="224" t="str">
        <f>IFERROR(HLOOKUP(B$2,'Power Summary'!$B$1:$BS$24,MATCH($A5,'Power Summary'!$A:$A,0), FALSE), "")</f>
        <v/>
      </c>
      <c r="D5" s="218">
        <v>8</v>
      </c>
      <c r="E5" s="91" t="str">
        <f>IFERROR(HLOOKUP(D$2,'Power Summary'!$B$1:$BS$24,MATCH($A5,'Power Summary'!$A:$A,0), FALSE), "")</f>
        <v/>
      </c>
      <c r="F5" s="107">
        <v>10</v>
      </c>
      <c r="G5" s="92" t="str">
        <f>IFERROR(HLOOKUP(F$2,'Power Summary'!$B$1:$BS$24,MATCH($A5,'Power Summary'!$A:$A,0), FALSE), "")</f>
        <v/>
      </c>
      <c r="H5" s="103">
        <v>67</v>
      </c>
      <c r="I5" s="153" t="str">
        <f>IFERROR(HLOOKUP(H$2,'Power Summary'!$B$1:$BS$24,MATCH($A5,'Power Summary'!$A:$A,0), FALSE), "")</f>
        <v/>
      </c>
      <c r="J5" s="107">
        <v>66</v>
      </c>
      <c r="K5" s="92" t="str">
        <f>IFERROR(HLOOKUP(J$2,'Power Summary'!$B$1:$BS$24,MATCH($A5,'Power Summary'!$A:$A,0), FALSE), "")</f>
        <v/>
      </c>
      <c r="L5" s="103">
        <v>31</v>
      </c>
      <c r="M5" s="153" t="str">
        <f>IFERROR(HLOOKUP(L$2,'Power Summary'!$B$1:$BS$24,MATCH($A5,'Power Summary'!$A:$A,0), FALSE), "")</f>
        <v/>
      </c>
      <c r="N5" s="107">
        <v>18</v>
      </c>
      <c r="O5" s="92" t="str">
        <f>IFERROR(HLOOKUP(N$2,'Power Summary'!$B$1:$BS$24,MATCH($A5,'Power Summary'!$A:$A,0), FALSE), "")</f>
        <v/>
      </c>
      <c r="P5" s="103">
        <v>49</v>
      </c>
      <c r="Q5" s="153" t="str">
        <f>IFERROR(HLOOKUP(P$2,'Power Summary'!$B$1:$BS$24,MATCH($A5,'Power Summary'!$A:$A,0), FALSE), "")</f>
        <v/>
      </c>
      <c r="R5" s="107">
        <v>52</v>
      </c>
      <c r="S5" s="92" t="str">
        <f>IFERROR(HLOOKUP(R$2,'Power Summary'!$B$1:$BS$24,MATCH($A5,'Power Summary'!$A:$A,0), FALSE), "")</f>
        <v/>
      </c>
      <c r="T5" s="103">
        <v>23</v>
      </c>
      <c r="U5" s="153" t="str">
        <f>IFERROR(HLOOKUP(T$2,'Power Summary'!$B$1:$BS$24,MATCH($A5,'Power Summary'!$A:$A,0), FALSE), "")</f>
        <v/>
      </c>
      <c r="V5" s="107">
        <v>42</v>
      </c>
      <c r="W5" s="92" t="str">
        <f>IFERROR(HLOOKUP(V$2,'Power Summary'!$B$1:$BS$24,MATCH($A5,'Power Summary'!$A:$A,0), FALSE), "")</f>
        <v/>
      </c>
      <c r="X5" s="104">
        <v>75</v>
      </c>
      <c r="Y5" s="91" t="str">
        <f>IFERROR(HLOOKUP(X$2,'Power Summary'!$B$1:$BS$24,MATCH($A5,'Power Summary'!$A:$A,0), FALSE), "")</f>
        <v/>
      </c>
      <c r="Z5" s="107">
        <v>320</v>
      </c>
      <c r="AA5" s="154" t="str">
        <f>IFERROR(HLOOKUP(Z$2,'Power Summary'!$B$1:$BS$24,MATCH($A5,'Power Summary'!$A:$A,0), FALSE), "")</f>
        <v/>
      </c>
      <c r="AB5" s="103">
        <v>58</v>
      </c>
      <c r="AC5" s="153" t="str">
        <f>IFERROR(HLOOKUP(AB$2,'Power Summary'!$B$1:$BS$24,MATCH($A5,'Power Summary'!$A:$A,0), FALSE), "")</f>
        <v/>
      </c>
      <c r="AD5" s="107">
        <v>250</v>
      </c>
      <c r="AE5" s="92" t="str">
        <f>IFERROR(HLOOKUP(AD$2,'Power Summary'!$B$1:$BS$24,MATCH($A5,'Power Summary'!$A:$A,0), FALSE), "")</f>
        <v/>
      </c>
      <c r="AF5" s="103">
        <v>59</v>
      </c>
      <c r="AG5" s="153" t="str">
        <f>IFERROR(HLOOKUP(AF$2,'Power Summary'!$B$1:$BS$24,MATCH($A5,'Power Summary'!$A:$A,0), FALSE), "")</f>
        <v/>
      </c>
      <c r="AH5" s="107">
        <v>48</v>
      </c>
      <c r="AI5" s="92" t="str">
        <f>IFERROR(HLOOKUP(AH$2,'Power Summary'!$B$1:$BS$24,MATCH($A5,'Power Summary'!$A:$A,0), FALSE), "")</f>
        <v/>
      </c>
      <c r="AJ5" s="103">
        <v>25</v>
      </c>
      <c r="AK5" s="153" t="str">
        <f>IFERROR(HLOOKUP(AJ$2,'Power Summary'!$B$1:$BS$24,MATCH($A5,'Power Summary'!$A:$A,0), FALSE), "")</f>
        <v/>
      </c>
      <c r="AL5" s="107">
        <v>8</v>
      </c>
      <c r="AM5" s="92" t="str">
        <f>IFERROR(HLOOKUP(AL$2,'Power Summary'!$B$1:$BS$24,MATCH($A5,'Power Summary'!$A:$A,0), FALSE), "")</f>
        <v/>
      </c>
      <c r="AN5" s="104">
        <v>280</v>
      </c>
      <c r="AO5" s="91" t="str">
        <f>IFERROR(HLOOKUP(AN$2,'Power Summary'!$B$1:$BS$24,MATCH($A5,'Power Summary'!$A:$A,0), FALSE), "")</f>
        <v/>
      </c>
      <c r="AP5" s="107">
        <v>250</v>
      </c>
      <c r="AQ5" s="92" t="str">
        <f>IFERROR(HLOOKUP(AP$2,'Power Summary'!$B$1:$BS$24,MATCH($A5,'Power Summary'!$A:$A,0), FALSE), "")</f>
        <v/>
      </c>
      <c r="AR5" s="103">
        <v>76</v>
      </c>
      <c r="AS5" s="153" t="str">
        <f>IFERROR(HLOOKUP(AR$2,'Power Summary'!$B$1:$BS$24,MATCH($A5,'Power Summary'!$A:$A,0), FALSE), "")</f>
        <v/>
      </c>
      <c r="AT5" s="107">
        <v>42</v>
      </c>
      <c r="AU5" s="92" t="str">
        <f>IFERROR(HLOOKUP(AT$2,'Power Summary'!$B$1:$BS$24,MATCH($A5,'Power Summary'!$A:$A,0), FALSE), "")</f>
        <v/>
      </c>
      <c r="AV5" s="103">
        <v>9</v>
      </c>
      <c r="AW5" s="153" t="str">
        <f>IFERROR(HLOOKUP(AV$2,'Power Summary'!$B$1:$BS$24,MATCH($A5,'Power Summary'!$A:$A,0), FALSE), "")</f>
        <v/>
      </c>
      <c r="AX5" s="107">
        <v>10</v>
      </c>
      <c r="AY5" s="92" t="str">
        <f>IFERROR(HLOOKUP(AX$2,'Power Summary'!$B$1:$BS$24,MATCH($A5,'Power Summary'!$A:$A,0), FALSE), "")</f>
        <v/>
      </c>
      <c r="AZ5" s="103">
        <v>22</v>
      </c>
      <c r="BA5" s="153" t="str">
        <f>IFERROR(HLOOKUP(AZ$2,'Power Summary'!$B$1:$BS$24,MATCH($A5,'Power Summary'!$A:$A,0), FALSE), "")</f>
        <v/>
      </c>
      <c r="BB5" s="107">
        <v>18</v>
      </c>
      <c r="BC5" s="92" t="str">
        <f>IFERROR(HLOOKUP(BB$2,'Power Summary'!$B$1:$BS$24,MATCH($A5,'Power Summary'!$A:$A,0), FALSE), "")</f>
        <v/>
      </c>
      <c r="BD5" s="115"/>
      <c r="BE5" s="116"/>
    </row>
    <row r="6" spans="1:57" ht="15" customHeight="1" thickBot="1" x14ac:dyDescent="0.4">
      <c r="A6" s="214" t="s">
        <v>120</v>
      </c>
      <c r="B6" s="223">
        <v>825.88235294117646</v>
      </c>
      <c r="C6" s="224" t="str">
        <f>IFERROR(HLOOKUP(B$2,'Power Summary'!$B$1:$BS$24,MATCH($A6,'Power Summary'!$A:$A,0), FALSE), "")</f>
        <v/>
      </c>
      <c r="D6" s="218">
        <v>5.5076786270063582</v>
      </c>
      <c r="E6" s="91" t="str">
        <f>IFERROR(HLOOKUP(D$2,'Power Summary'!$B$1:$BS$24,MATCH($A6,'Power Summary'!$A:$A,0), FALSE), "")</f>
        <v/>
      </c>
      <c r="F6" s="107">
        <v>5.5076786270063582</v>
      </c>
      <c r="G6" s="92" t="str">
        <f>IFERROR(HLOOKUP(F$2,'Power Summary'!$B$1:$BS$24,MATCH($A6,'Power Summary'!$A:$A,0), FALSE), "")</f>
        <v/>
      </c>
      <c r="H6" s="103">
        <v>1150.8823529411766</v>
      </c>
      <c r="I6" s="153" t="str">
        <f>IFERROR(HLOOKUP(H$2,'Power Summary'!$B$1:$BS$24,MATCH($A6,'Power Summary'!$A:$A,0), FALSE), "")</f>
        <v/>
      </c>
      <c r="J6" s="107">
        <v>480.29411764705884</v>
      </c>
      <c r="K6" s="92" t="str">
        <f>IFERROR(HLOOKUP(J$2,'Power Summary'!$B$1:$BS$24,MATCH($A6,'Power Summary'!$A:$A,0), FALSE), "")</f>
        <v/>
      </c>
      <c r="L6" s="103">
        <v>624.41176470588232</v>
      </c>
      <c r="M6" s="153" t="str">
        <f>IFERROR(HLOOKUP(L$2,'Power Summary'!$B$1:$BS$24,MATCH($A6,'Power Summary'!$A:$A,0), FALSE), "")</f>
        <v/>
      </c>
      <c r="N6" s="107">
        <v>798.52941176470586</v>
      </c>
      <c r="O6" s="92" t="str">
        <f>IFERROR(HLOOKUP(N$2,'Power Summary'!$B$1:$BS$24,MATCH($A6,'Power Summary'!$A:$A,0), FALSE), "")</f>
        <v/>
      </c>
      <c r="P6" s="103">
        <v>394.41176470588232</v>
      </c>
      <c r="Q6" s="153" t="str">
        <f>IFERROR(HLOOKUP(P$2,'Power Summary'!$B$1:$BS$24,MATCH($A6,'Power Summary'!$A:$A,0), FALSE), "")</f>
        <v/>
      </c>
      <c r="R6" s="107">
        <v>822.58823529411768</v>
      </c>
      <c r="S6" s="92" t="str">
        <f>IFERROR(HLOOKUP(R$2,'Power Summary'!$B$1:$BS$24,MATCH($A6,'Power Summary'!$A:$A,0), FALSE), "")</f>
        <v/>
      </c>
      <c r="T6" s="103">
        <v>5.5076786270063582</v>
      </c>
      <c r="U6" s="153" t="str">
        <f>IFERROR(HLOOKUP(T$2,'Power Summary'!$B$1:$BS$24,MATCH($A6,'Power Summary'!$A:$A,0), FALSE), "")</f>
        <v/>
      </c>
      <c r="V6" s="107">
        <v>265.88235294117646</v>
      </c>
      <c r="W6" s="92" t="str">
        <f>IFERROR(HLOOKUP(V$2,'Power Summary'!$B$1:$BS$24,MATCH($A6,'Power Summary'!$A:$A,0), FALSE), "")</f>
        <v/>
      </c>
      <c r="X6" s="104">
        <v>729.88235294117646</v>
      </c>
      <c r="Y6" s="91" t="str">
        <f>IFERROR(HLOOKUP(X$2,'Power Summary'!$B$1:$BS$24,MATCH($A6,'Power Summary'!$A:$A,0), FALSE), "")</f>
        <v/>
      </c>
      <c r="Z6" s="107">
        <v>443.155027675665</v>
      </c>
      <c r="AA6" s="154" t="str">
        <f>IFERROR(HLOOKUP(Z$2,'Power Summary'!$B$1:$BS$24,MATCH($A6,'Power Summary'!$A:$A,0), FALSE), "")</f>
        <v/>
      </c>
      <c r="AB6" s="103">
        <v>770.58823529411768</v>
      </c>
      <c r="AC6" s="153" t="str">
        <f>IFERROR(HLOOKUP(AB$2,'Power Summary'!$B$1:$BS$24,MATCH($A6,'Power Summary'!$A:$A,0), FALSE), "")</f>
        <v/>
      </c>
      <c r="AD6" s="107">
        <v>700</v>
      </c>
      <c r="AE6" s="92" t="str">
        <f>IFERROR(HLOOKUP(AD$2,'Power Summary'!$B$1:$BS$24,MATCH($A6,'Power Summary'!$A:$A,0), FALSE), "")</f>
        <v/>
      </c>
      <c r="AF6" s="103">
        <v>1310.6554124885095</v>
      </c>
      <c r="AG6" s="153" t="str">
        <f>IFERROR(HLOOKUP(AF$2,'Power Summary'!$B$1:$BS$24,MATCH($A6,'Power Summary'!$A:$A,0), FALSE), "")</f>
        <v/>
      </c>
      <c r="AH6" s="107">
        <v>309.41176470588232</v>
      </c>
      <c r="AI6" s="92" t="str">
        <f>IFERROR(HLOOKUP(AH$2,'Power Summary'!$B$1:$BS$24,MATCH($A6,'Power Summary'!$A:$A,0), FALSE), "")</f>
        <v/>
      </c>
      <c r="AJ6" s="103">
        <v>5.5076786270063582</v>
      </c>
      <c r="AK6" s="153" t="str">
        <f>IFERROR(HLOOKUP(AJ$2,'Power Summary'!$B$1:$BS$24,MATCH($A6,'Power Summary'!$A:$A,0), FALSE), "")</f>
        <v/>
      </c>
      <c r="AL6" s="107">
        <v>5.5076786270063582</v>
      </c>
      <c r="AM6" s="92" t="str">
        <f>IFERROR(HLOOKUP(AL$2,'Power Summary'!$B$1:$BS$24,MATCH($A6,'Power Summary'!$A:$A,0), FALSE), "")</f>
        <v/>
      </c>
      <c r="AN6" s="104">
        <v>397.41176470588232</v>
      </c>
      <c r="AO6" s="91" t="str">
        <f>IFERROR(HLOOKUP(AN$2,'Power Summary'!$B$1:$BS$24,MATCH($A6,'Power Summary'!$A:$A,0), FALSE), "")</f>
        <v/>
      </c>
      <c r="AP6" s="107">
        <v>700</v>
      </c>
      <c r="AQ6" s="92" t="str">
        <f>IFERROR(HLOOKUP(AP$2,'Power Summary'!$B$1:$BS$24,MATCH($A6,'Power Summary'!$A:$A,0), FALSE), "")</f>
        <v/>
      </c>
      <c r="AR6" s="103">
        <v>0.20117647058823532</v>
      </c>
      <c r="AS6" s="153" t="str">
        <f>IFERROR(HLOOKUP(AR$2,'Power Summary'!$B$1:$BS$24,MATCH($A6,'Power Summary'!$A:$A,0), FALSE), "")</f>
        <v/>
      </c>
      <c r="AT6" s="107">
        <v>297.88235294117646</v>
      </c>
      <c r="AU6" s="92" t="str">
        <f>IFERROR(HLOOKUP(AT$2,'Power Summary'!$B$1:$BS$24,MATCH($A6,'Power Summary'!$A:$A,0), FALSE), "")</f>
        <v/>
      </c>
      <c r="AV6" s="103">
        <v>5.5076786270063582</v>
      </c>
      <c r="AW6" s="153" t="str">
        <f>IFERROR(HLOOKUP(AV$2,'Power Summary'!$B$1:$BS$24,MATCH($A6,'Power Summary'!$A:$A,0), FALSE), "")</f>
        <v/>
      </c>
      <c r="AX6" s="107">
        <v>5.5076786270063582</v>
      </c>
      <c r="AY6" s="92" t="str">
        <f>IFERROR(HLOOKUP(AX$2,'Power Summary'!$B$1:$BS$24,MATCH($A6,'Power Summary'!$A:$A,0), FALSE), "")</f>
        <v/>
      </c>
      <c r="AZ6" s="103">
        <v>401.70977050566188</v>
      </c>
      <c r="BA6" s="153" t="str">
        <f>IFERROR(HLOOKUP(AZ$2,'Power Summary'!$B$1:$BS$24,MATCH($A6,'Power Summary'!$A:$A,0), FALSE), "")</f>
        <v/>
      </c>
      <c r="BB6" s="107">
        <v>798.52941176470586</v>
      </c>
      <c r="BC6" s="92" t="str">
        <f>IFERROR(HLOOKUP(BB$2,'Power Summary'!$B$1:$BS$24,MATCH($A6,'Power Summary'!$A:$A,0), FALSE), "")</f>
        <v/>
      </c>
      <c r="BD6" s="115"/>
      <c r="BE6" s="116"/>
    </row>
    <row r="7" spans="1:57" ht="15" customHeight="1" thickBot="1" x14ac:dyDescent="0.4">
      <c r="A7" s="214" t="s">
        <v>121</v>
      </c>
      <c r="B7" s="223">
        <v>23.530588235294118</v>
      </c>
      <c r="C7" s="224" t="str">
        <f>IFERROR(HLOOKUP(B$2,'Power Summary'!$B$1:$BS$24,MATCH($A7,'Power Summary'!$A:$A,0), FALSE), "")</f>
        <v/>
      </c>
      <c r="D7" s="218">
        <v>2.3529411764705885E-3</v>
      </c>
      <c r="E7" s="91" t="str">
        <f>IFERROR(HLOOKUP(D$2,'Power Summary'!$B$1:$BS$24,MATCH($A7,'Power Summary'!$A:$A,0), FALSE), "")</f>
        <v/>
      </c>
      <c r="F7" s="107">
        <v>2.3529411764705885E-3</v>
      </c>
      <c r="G7" s="92" t="str">
        <f>IFERROR(HLOOKUP(F$2,'Power Summary'!$B$1:$BS$24,MATCH($A7,'Power Summary'!$A:$A,0), FALSE), "")</f>
        <v/>
      </c>
      <c r="H7" s="103">
        <v>35.29529411764706</v>
      </c>
      <c r="I7" s="153" t="str">
        <f>IFERROR(HLOOKUP(H$2,'Power Summary'!$B$1:$BS$24,MATCH($A7,'Power Summary'!$A:$A,0), FALSE), "")</f>
        <v/>
      </c>
      <c r="J7" s="107">
        <v>11.765882352941178</v>
      </c>
      <c r="K7" s="92" t="str">
        <f>IFERROR(HLOOKUP(J$2,'Power Summary'!$B$1:$BS$24,MATCH($A7,'Power Summary'!$A:$A,0), FALSE), "")</f>
        <v/>
      </c>
      <c r="L7" s="103">
        <v>23.530588235294118</v>
      </c>
      <c r="M7" s="153" t="str">
        <f>IFERROR(HLOOKUP(L$2,'Power Summary'!$B$1:$BS$24,MATCH($A7,'Power Summary'!$A:$A,0), FALSE), "")</f>
        <v/>
      </c>
      <c r="N7" s="107">
        <v>2.3529411764705885E-3</v>
      </c>
      <c r="O7" s="92" t="str">
        <f>IFERROR(HLOOKUP(N$2,'Power Summary'!$B$1:$BS$24,MATCH($A7,'Power Summary'!$A:$A,0), FALSE), "")</f>
        <v/>
      </c>
      <c r="P7" s="103">
        <v>4.7070588235294117</v>
      </c>
      <c r="Q7" s="153" t="str">
        <f>IFERROR(HLOOKUP(P$2,'Power Summary'!$B$1:$BS$24,MATCH($A7,'Power Summary'!$A:$A,0), FALSE), "")</f>
        <v/>
      </c>
      <c r="R7" s="107">
        <v>4.7070588235294117</v>
      </c>
      <c r="S7" s="92" t="str">
        <f>IFERROR(HLOOKUP(R$2,'Power Summary'!$B$1:$BS$24,MATCH($A7,'Power Summary'!$A:$A,0), FALSE), "")</f>
        <v/>
      </c>
      <c r="T7" s="103">
        <v>705.8835294117647</v>
      </c>
      <c r="U7" s="153" t="str">
        <f>IFERROR(HLOOKUP(T$2,'Power Summary'!$B$1:$BS$24,MATCH($A7,'Power Summary'!$A:$A,0), FALSE), "")</f>
        <v/>
      </c>
      <c r="V7" s="107">
        <v>94.11882352941177</v>
      </c>
      <c r="W7" s="92" t="str">
        <f>IFERROR(HLOOKUP(V$2,'Power Summary'!$B$1:$BS$24,MATCH($A7,'Power Summary'!$A:$A,0), FALSE), "")</f>
        <v/>
      </c>
      <c r="X7" s="104">
        <v>18.824705882352941</v>
      </c>
      <c r="Y7" s="91" t="str">
        <f>IFERROR(HLOOKUP(X$2,'Power Summary'!$B$1:$BS$24,MATCH($A7,'Power Summary'!$A:$A,0), FALSE), "")</f>
        <v/>
      </c>
      <c r="Z7" s="107">
        <v>94.11882352941177</v>
      </c>
      <c r="AA7" s="154" t="str">
        <f>IFERROR(HLOOKUP(Z$2,'Power Summary'!$B$1:$BS$24,MATCH($A7,'Power Summary'!$A:$A,0), FALSE), "")</f>
        <v/>
      </c>
      <c r="AB7" s="103">
        <v>35.29529411764706</v>
      </c>
      <c r="AC7" s="153" t="str">
        <f>IFERROR(HLOOKUP(AB$2,'Power Summary'!$B$1:$BS$24,MATCH($A7,'Power Summary'!$A:$A,0), FALSE), "")</f>
        <v/>
      </c>
      <c r="AD7" s="107">
        <v>2.3541176470588234</v>
      </c>
      <c r="AE7" s="92" t="str">
        <f>IFERROR(HLOOKUP(AD$2,'Power Summary'!$B$1:$BS$24,MATCH($A7,'Power Summary'!$A:$A,0), FALSE), "")</f>
        <v/>
      </c>
      <c r="AF7" s="103">
        <v>23.530588235294118</v>
      </c>
      <c r="AG7" s="153" t="str">
        <f>IFERROR(HLOOKUP(AF$2,'Power Summary'!$B$1:$BS$24,MATCH($A7,'Power Summary'!$A:$A,0), FALSE), "")</f>
        <v/>
      </c>
      <c r="AH7" s="107">
        <v>58.824705882352944</v>
      </c>
      <c r="AI7" s="92" t="str">
        <f>IFERROR(HLOOKUP(AH$2,'Power Summary'!$B$1:$BS$24,MATCH($A7,'Power Summary'!$A:$A,0), FALSE), "")</f>
        <v/>
      </c>
      <c r="AJ7" s="103">
        <v>270.58941176470591</v>
      </c>
      <c r="AK7" s="153" t="str">
        <f>IFERROR(HLOOKUP(AJ$2,'Power Summary'!$B$1:$BS$24,MATCH($A7,'Power Summary'!$A:$A,0), FALSE), "")</f>
        <v/>
      </c>
      <c r="AL7" s="107">
        <v>2.3529411764705885E-3</v>
      </c>
      <c r="AM7" s="92" t="str">
        <f>IFERROR(HLOOKUP(AL$2,'Power Summary'!$B$1:$BS$24,MATCH($A7,'Power Summary'!$A:$A,0), FALSE), "")</f>
        <v/>
      </c>
      <c r="AN7" s="104">
        <v>94.11882352941177</v>
      </c>
      <c r="AO7" s="91" t="str">
        <f>IFERROR(HLOOKUP(AN$2,'Power Summary'!$B$1:$BS$24,MATCH($A7,'Power Summary'!$A:$A,0), FALSE), "")</f>
        <v/>
      </c>
      <c r="AP7" s="107">
        <v>2.3541176470588234</v>
      </c>
      <c r="AQ7" s="92" t="str">
        <f>IFERROR(HLOOKUP(AP$2,'Power Summary'!$B$1:$BS$24,MATCH($A7,'Power Summary'!$A:$A,0), FALSE), "")</f>
        <v/>
      </c>
      <c r="AR7" s="103">
        <v>17.648235294117647</v>
      </c>
      <c r="AS7" s="153" t="str">
        <f>IFERROR(HLOOKUP(AR$2,'Power Summary'!$B$1:$BS$24,MATCH($A7,'Power Summary'!$A:$A,0), FALSE), "")</f>
        <v/>
      </c>
      <c r="AT7" s="107">
        <v>317.64823529411763</v>
      </c>
      <c r="AU7" s="92" t="str">
        <f>IFERROR(HLOOKUP(AT$2,'Power Summary'!$B$1:$BS$24,MATCH($A7,'Power Summary'!$A:$A,0), FALSE), "")</f>
        <v/>
      </c>
      <c r="AV7" s="103">
        <v>2.3529411764705885E-3</v>
      </c>
      <c r="AW7" s="153" t="str">
        <f>IFERROR(HLOOKUP(AV$2,'Power Summary'!$B$1:$BS$24,MATCH($A7,'Power Summary'!$A:$A,0), FALSE), "")</f>
        <v/>
      </c>
      <c r="AX7" s="107">
        <v>2.3529411764705885E-3</v>
      </c>
      <c r="AY7" s="92" t="str">
        <f>IFERROR(HLOOKUP(AX$2,'Power Summary'!$B$1:$BS$24,MATCH($A7,'Power Summary'!$A:$A,0), FALSE), "")</f>
        <v/>
      </c>
      <c r="AZ7" s="103">
        <v>2.3529411764705885E-3</v>
      </c>
      <c r="BA7" s="153" t="str">
        <f>IFERROR(HLOOKUP(AZ$2,'Power Summary'!$B$1:$BS$24,MATCH($A7,'Power Summary'!$A:$A,0), FALSE), "")</f>
        <v/>
      </c>
      <c r="BB7" s="107">
        <v>2.3529411764705885E-3</v>
      </c>
      <c r="BC7" s="92" t="str">
        <f>IFERROR(HLOOKUP(BB$2,'Power Summary'!$B$1:$BS$24,MATCH($A7,'Power Summary'!$A:$A,0), FALSE), "")</f>
        <v/>
      </c>
      <c r="BD7" s="115"/>
      <c r="BE7" s="116"/>
    </row>
    <row r="8" spans="1:57" ht="15" customHeight="1" thickBot="1" x14ac:dyDescent="0.4">
      <c r="A8" s="214" t="s">
        <v>122</v>
      </c>
      <c r="B8" s="223">
        <v>64</v>
      </c>
      <c r="C8" s="224" t="str">
        <f>IFERROR(HLOOKUP(B$2,'Power Summary'!$B$1:$BS$24,MATCH($A8,'Power Summary'!$A:$A,0), FALSE), "")</f>
        <v/>
      </c>
      <c r="D8" s="218">
        <v>0.4</v>
      </c>
      <c r="E8" s="91" t="str">
        <f>IFERROR(HLOOKUP(D$2,'Power Summary'!$B$1:$BS$24,MATCH($A8,'Power Summary'!$A:$A,0), FALSE), "")</f>
        <v/>
      </c>
      <c r="F8" s="107">
        <v>0.4</v>
      </c>
      <c r="G8" s="92" t="str">
        <f>IFERROR(HLOOKUP(F$2,'Power Summary'!$B$1:$BS$24,MATCH($A8,'Power Summary'!$A:$A,0), FALSE), "")</f>
        <v/>
      </c>
      <c r="H8" s="103">
        <v>69</v>
      </c>
      <c r="I8" s="153" t="str">
        <f>IFERROR(HLOOKUP(H$2,'Power Summary'!$B$1:$BS$24,MATCH($A8,'Power Summary'!$A:$A,0), FALSE), "")</f>
        <v/>
      </c>
      <c r="J8" s="107">
        <v>49</v>
      </c>
      <c r="K8" s="92" t="str">
        <f>IFERROR(HLOOKUP(J$2,'Power Summary'!$B$1:$BS$24,MATCH($A8,'Power Summary'!$A:$A,0), FALSE), "")</f>
        <v/>
      </c>
      <c r="L8" s="103">
        <v>49</v>
      </c>
      <c r="M8" s="153" t="str">
        <f>IFERROR(HLOOKUP(L$2,'Power Summary'!$B$1:$BS$24,MATCH($A8,'Power Summary'!$A:$A,0), FALSE), "")</f>
        <v/>
      </c>
      <c r="N8" s="107">
        <v>69</v>
      </c>
      <c r="O8" s="92" t="str">
        <f>IFERROR(HLOOKUP(N$2,'Power Summary'!$B$1:$BS$24,MATCH($A8,'Power Summary'!$A:$A,0), FALSE), "")</f>
        <v/>
      </c>
      <c r="P8" s="103">
        <v>49</v>
      </c>
      <c r="Q8" s="153" t="str">
        <f>IFERROR(HLOOKUP(P$2,'Power Summary'!$B$1:$BS$24,MATCH($A8,'Power Summary'!$A:$A,0), FALSE), "")</f>
        <v/>
      </c>
      <c r="R8" s="107">
        <v>69</v>
      </c>
      <c r="S8" s="92" t="str">
        <f>IFERROR(HLOOKUP(R$2,'Power Summary'!$B$1:$BS$24,MATCH($A8,'Power Summary'!$A:$A,0), FALSE), "")</f>
        <v/>
      </c>
      <c r="T8" s="103">
        <v>0.4</v>
      </c>
      <c r="U8" s="153" t="str">
        <f>IFERROR(HLOOKUP(T$2,'Power Summary'!$B$1:$BS$24,MATCH($A8,'Power Summary'!$A:$A,0), FALSE), "")</f>
        <v/>
      </c>
      <c r="V8" s="107">
        <v>49</v>
      </c>
      <c r="W8" s="92" t="str">
        <f>IFERROR(HLOOKUP(V$2,'Power Summary'!$B$1:$BS$24,MATCH($A8,'Power Summary'!$A:$A,0), FALSE), "")</f>
        <v/>
      </c>
      <c r="X8" s="104">
        <v>69</v>
      </c>
      <c r="Y8" s="91" t="str">
        <f>IFERROR(HLOOKUP(X$2,'Power Summary'!$B$1:$BS$24,MATCH($A8,'Power Summary'!$A:$A,0), FALSE), "")</f>
        <v/>
      </c>
      <c r="Z8" s="107">
        <v>49</v>
      </c>
      <c r="AA8" s="154" t="str">
        <f>IFERROR(HLOOKUP(Z$2,'Power Summary'!$B$1:$BS$24,MATCH($A8,'Power Summary'!$A:$A,0), FALSE), "")</f>
        <v/>
      </c>
      <c r="AB8" s="103">
        <v>69</v>
      </c>
      <c r="AC8" s="153" t="str">
        <f>IFERROR(HLOOKUP(AB$2,'Power Summary'!$B$1:$BS$24,MATCH($A8,'Power Summary'!$A:$A,0), FALSE), "")</f>
        <v/>
      </c>
      <c r="AD8" s="107">
        <v>69</v>
      </c>
      <c r="AE8" s="92" t="str">
        <f>IFERROR(HLOOKUP(AD$2,'Power Summary'!$B$1:$BS$24,MATCH($A8,'Power Summary'!$A:$A,0), FALSE), "")</f>
        <v/>
      </c>
      <c r="AF8" s="103">
        <v>69</v>
      </c>
      <c r="AG8" s="153" t="str">
        <f>IFERROR(HLOOKUP(AF$2,'Power Summary'!$B$1:$BS$24,MATCH($A8,'Power Summary'!$A:$A,0), FALSE), "")</f>
        <v/>
      </c>
      <c r="AH8" s="107">
        <v>49</v>
      </c>
      <c r="AI8" s="92" t="str">
        <f>IFERROR(HLOOKUP(AH$2,'Power Summary'!$B$1:$BS$24,MATCH($A8,'Power Summary'!$A:$A,0), FALSE), "")</f>
        <v/>
      </c>
      <c r="AJ8" s="103">
        <v>0.4</v>
      </c>
      <c r="AK8" s="153" t="str">
        <f>IFERROR(HLOOKUP(AJ$2,'Power Summary'!$B$1:$BS$24,MATCH($A8,'Power Summary'!$A:$A,0), FALSE), "")</f>
        <v/>
      </c>
      <c r="AL8" s="107">
        <v>0.4</v>
      </c>
      <c r="AM8" s="92" t="str">
        <f>IFERROR(HLOOKUP(AL$2,'Power Summary'!$B$1:$BS$24,MATCH($A8,'Power Summary'!$A:$A,0), FALSE), "")</f>
        <v/>
      </c>
      <c r="AN8" s="104">
        <v>49</v>
      </c>
      <c r="AO8" s="91" t="str">
        <f>IFERROR(HLOOKUP(AN$2,'Power Summary'!$B$1:$BS$24,MATCH($A8,'Power Summary'!$A:$A,0), FALSE), "")</f>
        <v/>
      </c>
      <c r="AP8" s="107">
        <v>69</v>
      </c>
      <c r="AQ8" s="92" t="str">
        <f>IFERROR(HLOOKUP(AP$2,'Power Summary'!$B$1:$BS$24,MATCH($A8,'Power Summary'!$A:$A,0), FALSE), "")</f>
        <v/>
      </c>
      <c r="AR8" s="103">
        <v>0.4</v>
      </c>
      <c r="AS8" s="153" t="str">
        <f>IFERROR(HLOOKUP(AR$2,'Power Summary'!$B$1:$BS$24,MATCH($A8,'Power Summary'!$A:$A,0), FALSE), "")</f>
        <v/>
      </c>
      <c r="AT8" s="107">
        <v>49</v>
      </c>
      <c r="AU8" s="92" t="str">
        <f>IFERROR(HLOOKUP(AT$2,'Power Summary'!$B$1:$BS$24,MATCH($A8,'Power Summary'!$A:$A,0), FALSE), "")</f>
        <v/>
      </c>
      <c r="AV8" s="103">
        <v>0.4</v>
      </c>
      <c r="AW8" s="153" t="str">
        <f>IFERROR(HLOOKUP(AV$2,'Power Summary'!$B$1:$BS$24,MATCH($A8,'Power Summary'!$A:$A,0), FALSE), "")</f>
        <v/>
      </c>
      <c r="AX8" s="107">
        <v>0.4</v>
      </c>
      <c r="AY8" s="92" t="str">
        <f>IFERROR(HLOOKUP(AX$2,'Power Summary'!$B$1:$BS$24,MATCH($A8,'Power Summary'!$A:$A,0), FALSE), "")</f>
        <v/>
      </c>
      <c r="AZ8" s="103">
        <v>49</v>
      </c>
      <c r="BA8" s="153" t="str">
        <f>IFERROR(HLOOKUP(AZ$2,'Power Summary'!$B$1:$BS$24,MATCH($A8,'Power Summary'!$A:$A,0), FALSE), "")</f>
        <v/>
      </c>
      <c r="BB8" s="107">
        <v>69</v>
      </c>
      <c r="BC8" s="92" t="str">
        <f>IFERROR(HLOOKUP(BB$2,'Power Summary'!$B$1:$BS$24,MATCH($A8,'Power Summary'!$A:$A,0), FALSE), "")</f>
        <v/>
      </c>
      <c r="BD8" s="115"/>
      <c r="BE8" s="116"/>
    </row>
    <row r="9" spans="1:57" ht="15" customHeight="1" thickBot="1" x14ac:dyDescent="0.4">
      <c r="A9" s="214" t="s">
        <v>123</v>
      </c>
      <c r="B9" s="223">
        <v>23.488235294117651</v>
      </c>
      <c r="C9" s="224" t="str">
        <f>IFERROR(HLOOKUP(B$2,'Power Summary'!$B$1:$BS$24,MATCH($A9,'Power Summary'!$A:$A,0), FALSE), "")</f>
        <v/>
      </c>
      <c r="D9" s="218">
        <v>2.5711223529411766</v>
      </c>
      <c r="E9" s="91" t="str">
        <f>IFERROR(HLOOKUP(D$2,'Power Summary'!$B$1:$BS$24,MATCH($A9,'Power Summary'!$A:$A,0), FALSE), "")</f>
        <v/>
      </c>
      <c r="F9" s="107">
        <v>2.5711223529411766</v>
      </c>
      <c r="G9" s="92" t="str">
        <f>IFERROR(HLOOKUP(F$2,'Power Summary'!$B$1:$BS$24,MATCH($A9,'Power Summary'!$A:$A,0), FALSE), "")</f>
        <v/>
      </c>
      <c r="H9" s="103">
        <v>7.8294117647058838</v>
      </c>
      <c r="I9" s="153" t="str">
        <f>IFERROR(HLOOKUP(H$2,'Power Summary'!$B$1:$BS$24,MATCH($A9,'Power Summary'!$A:$A,0), FALSE), "")</f>
        <v/>
      </c>
      <c r="J9" s="107">
        <v>4.6976470588235308</v>
      </c>
      <c r="K9" s="92" t="str">
        <f>IFERROR(HLOOKUP(J$2,'Power Summary'!$B$1:$BS$24,MATCH($A9,'Power Summary'!$A:$A,0), FALSE), "")</f>
        <v/>
      </c>
      <c r="L9" s="103">
        <v>4.6976470588235308</v>
      </c>
      <c r="M9" s="153" t="str">
        <f>IFERROR(HLOOKUP(L$2,'Power Summary'!$B$1:$BS$24,MATCH($A9,'Power Summary'!$A:$A,0), FALSE), "")</f>
        <v/>
      </c>
      <c r="N9" s="107">
        <v>3.1317647058823539</v>
      </c>
      <c r="O9" s="92" t="str">
        <f>IFERROR(HLOOKUP(N$2,'Power Summary'!$B$1:$BS$24,MATCH($A9,'Power Summary'!$A:$A,0), FALSE), "")</f>
        <v/>
      </c>
      <c r="P9" s="103">
        <v>4.6976470588235308</v>
      </c>
      <c r="Q9" s="153" t="str">
        <f>IFERROR(HLOOKUP(P$2,'Power Summary'!$B$1:$BS$24,MATCH($A9,'Power Summary'!$A:$A,0), FALSE), "")</f>
        <v/>
      </c>
      <c r="R9" s="107">
        <v>4.6976470588235308</v>
      </c>
      <c r="S9" s="92" t="str">
        <f>IFERROR(HLOOKUP(R$2,'Power Summary'!$B$1:$BS$24,MATCH($A9,'Power Summary'!$A:$A,0), FALSE), "")</f>
        <v/>
      </c>
      <c r="T9" s="103">
        <v>4.6976470588235308</v>
      </c>
      <c r="U9" s="153" t="str">
        <f>IFERROR(HLOOKUP(T$2,'Power Summary'!$B$1:$BS$24,MATCH($A9,'Power Summary'!$A:$A,0), FALSE), "")</f>
        <v/>
      </c>
      <c r="V9" s="107">
        <v>4.6976470588235308</v>
      </c>
      <c r="W9" s="92" t="str">
        <f>IFERROR(HLOOKUP(V$2,'Power Summary'!$B$1:$BS$24,MATCH($A9,'Power Summary'!$A:$A,0), FALSE), "")</f>
        <v/>
      </c>
      <c r="X9" s="104">
        <v>12.527058823529416</v>
      </c>
      <c r="Y9" s="91" t="str">
        <f>IFERROR(HLOOKUP(X$2,'Power Summary'!$B$1:$BS$24,MATCH($A9,'Power Summary'!$A:$A,0), FALSE), "")</f>
        <v/>
      </c>
      <c r="Z9" s="107">
        <v>7.8294117647058838</v>
      </c>
      <c r="AA9" s="154" t="str">
        <f>IFERROR(HLOOKUP(Z$2,'Power Summary'!$B$1:$BS$24,MATCH($A9,'Power Summary'!$A:$A,0), FALSE), "")</f>
        <v/>
      </c>
      <c r="AB9" s="103">
        <v>7.8294117647058838</v>
      </c>
      <c r="AC9" s="153" t="str">
        <f>IFERROR(HLOOKUP(AB$2,'Power Summary'!$B$1:$BS$24,MATCH($A9,'Power Summary'!$A:$A,0), FALSE), "")</f>
        <v/>
      </c>
      <c r="AD9" s="107">
        <v>7.8294117647058838</v>
      </c>
      <c r="AE9" s="92" t="str">
        <f>IFERROR(HLOOKUP(AD$2,'Power Summary'!$B$1:$BS$24,MATCH($A9,'Power Summary'!$A:$A,0), FALSE), "")</f>
        <v/>
      </c>
      <c r="AF9" s="103">
        <v>7.8294117647058838</v>
      </c>
      <c r="AG9" s="153" t="str">
        <f>IFERROR(HLOOKUP(AF$2,'Power Summary'!$B$1:$BS$24,MATCH($A9,'Power Summary'!$A:$A,0), FALSE), "")</f>
        <v/>
      </c>
      <c r="AH9" s="107">
        <v>7.8294117647058838</v>
      </c>
      <c r="AI9" s="92" t="str">
        <f>IFERROR(HLOOKUP(AH$2,'Power Summary'!$B$1:$BS$24,MATCH($A9,'Power Summary'!$A:$A,0), FALSE), "")</f>
        <v/>
      </c>
      <c r="AJ9" s="103">
        <v>4.6976470588235308</v>
      </c>
      <c r="AK9" s="153" t="str">
        <f>IFERROR(HLOOKUP(AJ$2,'Power Summary'!$B$1:$BS$24,MATCH($A9,'Power Summary'!$A:$A,0), FALSE), "")</f>
        <v/>
      </c>
      <c r="AL9" s="107">
        <v>2.5711223529411766</v>
      </c>
      <c r="AM9" s="92" t="str">
        <f>IFERROR(HLOOKUP(AL$2,'Power Summary'!$B$1:$BS$24,MATCH($A9,'Power Summary'!$A:$A,0), FALSE), "")</f>
        <v/>
      </c>
      <c r="AN9" s="104">
        <v>3.1317647058823539</v>
      </c>
      <c r="AO9" s="91" t="str">
        <f>IFERROR(HLOOKUP(AN$2,'Power Summary'!$B$1:$BS$24,MATCH($A9,'Power Summary'!$A:$A,0), FALSE), "")</f>
        <v/>
      </c>
      <c r="AP9" s="107">
        <v>15.658823529411768</v>
      </c>
      <c r="AQ9" s="92" t="str">
        <f>IFERROR(HLOOKUP(AP$2,'Power Summary'!$B$1:$BS$24,MATCH($A9,'Power Summary'!$A:$A,0), FALSE), "")</f>
        <v/>
      </c>
      <c r="AR9" s="103">
        <v>4.6976470588235308</v>
      </c>
      <c r="AS9" s="153" t="str">
        <f>IFERROR(HLOOKUP(AR$2,'Power Summary'!$B$1:$BS$24,MATCH($A9,'Power Summary'!$A:$A,0), FALSE), "")</f>
        <v/>
      </c>
      <c r="AT9" s="107">
        <v>4.6976470588235308</v>
      </c>
      <c r="AU9" s="92" t="str">
        <f>IFERROR(HLOOKUP(AT$2,'Power Summary'!$B$1:$BS$24,MATCH($A9,'Power Summary'!$A:$A,0), FALSE), "")</f>
        <v/>
      </c>
      <c r="AV9" s="103">
        <v>2.5711223529411766</v>
      </c>
      <c r="AW9" s="153" t="str">
        <f>IFERROR(HLOOKUP(AV$2,'Power Summary'!$B$1:$BS$24,MATCH($A9,'Power Summary'!$A:$A,0), FALSE), "")</f>
        <v/>
      </c>
      <c r="AX9" s="107">
        <v>2.5711223529411766</v>
      </c>
      <c r="AY9" s="92" t="str">
        <f>IFERROR(HLOOKUP(AX$2,'Power Summary'!$B$1:$BS$24,MATCH($A9,'Power Summary'!$A:$A,0), FALSE), "")</f>
        <v/>
      </c>
      <c r="AZ9" s="103">
        <v>3.1317647058823539</v>
      </c>
      <c r="BA9" s="153" t="str">
        <f>IFERROR(HLOOKUP(AZ$2,'Power Summary'!$B$1:$BS$24,MATCH($A9,'Power Summary'!$A:$A,0), FALSE), "")</f>
        <v/>
      </c>
      <c r="BB9" s="107">
        <v>3.1317647058823539</v>
      </c>
      <c r="BC9" s="92" t="str">
        <f>IFERROR(HLOOKUP(BB$2,'Power Summary'!$B$1:$BS$24,MATCH($A9,'Power Summary'!$A:$A,0), FALSE), "")</f>
        <v/>
      </c>
      <c r="BD9" s="115"/>
      <c r="BE9" s="116"/>
    </row>
    <row r="10" spans="1:57" ht="15" customHeight="1" thickBot="1" x14ac:dyDescent="0.4">
      <c r="A10" s="214" t="s">
        <v>124</v>
      </c>
      <c r="B10" s="223">
        <v>1.176470588235294E-3</v>
      </c>
      <c r="C10" s="224" t="str">
        <f>IFERROR(HLOOKUP(B$2,'Power Summary'!$B$1:$BS$24,MATCH($A10,'Power Summary'!$A:$A,0), FALSE), "")</f>
        <v/>
      </c>
      <c r="D10" s="218">
        <v>1.1764705882352942E-3</v>
      </c>
      <c r="E10" s="91" t="str">
        <f>IFERROR(HLOOKUP(D$2,'Power Summary'!$B$1:$BS$24,MATCH($A10,'Power Summary'!$A:$A,0), FALSE), "")</f>
        <v/>
      </c>
      <c r="F10" s="107">
        <v>1.1764705882352942E-3</v>
      </c>
      <c r="G10" s="92" t="str">
        <f>IFERROR(HLOOKUP(F$2,'Power Summary'!$B$1:$BS$24,MATCH($A10,'Power Summary'!$A:$A,0), FALSE), "")</f>
        <v/>
      </c>
      <c r="H10" s="103">
        <v>0.11764705882352942</v>
      </c>
      <c r="I10" s="153" t="str">
        <f>IFERROR(HLOOKUP(H$2,'Power Summary'!$B$1:$BS$24,MATCH($A10,'Power Summary'!$A:$A,0), FALSE), "")</f>
        <v/>
      </c>
      <c r="J10" s="107">
        <v>0.11764705882352942</v>
      </c>
      <c r="K10" s="92" t="str">
        <f>IFERROR(HLOOKUP(J$2,'Power Summary'!$B$1:$BS$24,MATCH($A10,'Power Summary'!$A:$A,0), FALSE), "")</f>
        <v/>
      </c>
      <c r="L10" s="103">
        <v>0.11764705882352942</v>
      </c>
      <c r="M10" s="153" t="str">
        <f>IFERROR(HLOOKUP(L$2,'Power Summary'!$B$1:$BS$24,MATCH($A10,'Power Summary'!$A:$A,0), FALSE), "")</f>
        <v/>
      </c>
      <c r="N10" s="107">
        <v>0.11764705882352942</v>
      </c>
      <c r="O10" s="92" t="str">
        <f>IFERROR(HLOOKUP(N$2,'Power Summary'!$B$1:$BS$24,MATCH($A10,'Power Summary'!$A:$A,0), FALSE), "")</f>
        <v/>
      </c>
      <c r="P10" s="103">
        <v>0.11764705882352942</v>
      </c>
      <c r="Q10" s="153" t="str">
        <f>IFERROR(HLOOKUP(P$2,'Power Summary'!$B$1:$BS$24,MATCH($A10,'Power Summary'!$A:$A,0), FALSE), "")</f>
        <v/>
      </c>
      <c r="R10" s="107">
        <v>0.11764705882352942</v>
      </c>
      <c r="S10" s="92" t="str">
        <f>IFERROR(HLOOKUP(R$2,'Power Summary'!$B$1:$BS$24,MATCH($A10,'Power Summary'!$A:$A,0), FALSE), "")</f>
        <v/>
      </c>
      <c r="T10" s="103">
        <v>0.11764705882352942</v>
      </c>
      <c r="U10" s="153" t="str">
        <f>IFERROR(HLOOKUP(T$2,'Power Summary'!$B$1:$BS$24,MATCH($A10,'Power Summary'!$A:$A,0), FALSE), "")</f>
        <v/>
      </c>
      <c r="V10" s="107">
        <v>0.11764705882352942</v>
      </c>
      <c r="W10" s="92" t="str">
        <f>IFERROR(HLOOKUP(V$2,'Power Summary'!$B$1:$BS$24,MATCH($A10,'Power Summary'!$A:$A,0), FALSE), "")</f>
        <v/>
      </c>
      <c r="X10" s="104">
        <v>0.11764705882352942</v>
      </c>
      <c r="Y10" s="91" t="str">
        <f>IFERROR(HLOOKUP(X$2,'Power Summary'!$B$1:$BS$24,MATCH($A10,'Power Summary'!$A:$A,0), FALSE), "")</f>
        <v/>
      </c>
      <c r="Z10" s="107">
        <v>0.11764705882352942</v>
      </c>
      <c r="AA10" s="154" t="str">
        <f>IFERROR(HLOOKUP(Z$2,'Power Summary'!$B$1:$BS$24,MATCH($A10,'Power Summary'!$A:$A,0), FALSE), "")</f>
        <v/>
      </c>
      <c r="AB10" s="103">
        <v>0.11764705882352942</v>
      </c>
      <c r="AC10" s="153" t="str">
        <f>IFERROR(HLOOKUP(AB$2,'Power Summary'!$B$1:$BS$24,MATCH($A10,'Power Summary'!$A:$A,0), FALSE), "")</f>
        <v/>
      </c>
      <c r="AD10" s="107">
        <v>350</v>
      </c>
      <c r="AE10" s="92" t="str">
        <f>IFERROR(HLOOKUP(AD$2,'Power Summary'!$B$1:$BS$24,MATCH($A10,'Power Summary'!$A:$A,0), FALSE), "")</f>
        <v/>
      </c>
      <c r="AF10" s="103">
        <v>0.11764705882352942</v>
      </c>
      <c r="AG10" s="153" t="str">
        <f>IFERROR(HLOOKUP(AF$2,'Power Summary'!$B$1:$BS$24,MATCH($A10,'Power Summary'!$A:$A,0), FALSE), "")</f>
        <v/>
      </c>
      <c r="AH10" s="107">
        <v>0.11764705882352942</v>
      </c>
      <c r="AI10" s="92" t="str">
        <f>IFERROR(HLOOKUP(AH$2,'Power Summary'!$B$1:$BS$24,MATCH($A10,'Power Summary'!$A:$A,0), FALSE), "")</f>
        <v/>
      </c>
      <c r="AJ10" s="103">
        <v>0.11764705882352942</v>
      </c>
      <c r="AK10" s="153" t="str">
        <f>IFERROR(HLOOKUP(AJ$2,'Power Summary'!$B$1:$BS$24,MATCH($A10,'Power Summary'!$A:$A,0), FALSE), "")</f>
        <v/>
      </c>
      <c r="AL10" s="107">
        <v>1.1764705882352942E-3</v>
      </c>
      <c r="AM10" s="92" t="str">
        <f>IFERROR(HLOOKUP(AL$2,'Power Summary'!$B$1:$BS$24,MATCH($A10,'Power Summary'!$A:$A,0), FALSE), "")</f>
        <v/>
      </c>
      <c r="AN10" s="104">
        <v>349.29411764705878</v>
      </c>
      <c r="AO10" s="91" t="str">
        <f>IFERROR(HLOOKUP(AN$2,'Power Summary'!$B$1:$BS$24,MATCH($A10,'Power Summary'!$A:$A,0), FALSE), "")</f>
        <v/>
      </c>
      <c r="AP10" s="107">
        <v>850</v>
      </c>
      <c r="AQ10" s="92" t="str">
        <f>IFERROR(HLOOKUP(AP$2,'Power Summary'!$B$1:$BS$24,MATCH($A10,'Power Summary'!$A:$A,0), FALSE), "")</f>
        <v/>
      </c>
      <c r="AR10" s="103">
        <v>0.11764705882352942</v>
      </c>
      <c r="AS10" s="153" t="str">
        <f>IFERROR(HLOOKUP(AR$2,'Power Summary'!$B$1:$BS$24,MATCH($A10,'Power Summary'!$A:$A,0), FALSE), "")</f>
        <v/>
      </c>
      <c r="AT10" s="107">
        <v>0.11764705882352942</v>
      </c>
      <c r="AU10" s="92" t="str">
        <f>IFERROR(HLOOKUP(AT$2,'Power Summary'!$B$1:$BS$24,MATCH($A10,'Power Summary'!$A:$A,0), FALSE), "")</f>
        <v/>
      </c>
      <c r="AV10" s="103">
        <v>1.1764705882352942E-3</v>
      </c>
      <c r="AW10" s="153" t="str">
        <f>IFERROR(HLOOKUP(AV$2,'Power Summary'!$B$1:$BS$24,MATCH($A10,'Power Summary'!$A:$A,0), FALSE), "")</f>
        <v/>
      </c>
      <c r="AX10" s="107">
        <v>1.1764705882352942E-3</v>
      </c>
      <c r="AY10" s="92" t="str">
        <f>IFERROR(HLOOKUP(AX$2,'Power Summary'!$B$1:$BS$24,MATCH($A10,'Power Summary'!$A:$A,0), FALSE), "")</f>
        <v/>
      </c>
      <c r="AZ10" s="103">
        <v>0.11764705882352942</v>
      </c>
      <c r="BA10" s="153" t="str">
        <f>IFERROR(HLOOKUP(AZ$2,'Power Summary'!$B$1:$BS$24,MATCH($A10,'Power Summary'!$A:$A,0), FALSE), "")</f>
        <v/>
      </c>
      <c r="BB10" s="107">
        <v>0.11764705882352942</v>
      </c>
      <c r="BC10" s="92" t="str">
        <f>IFERROR(HLOOKUP(BB$2,'Power Summary'!$B$1:$BS$24,MATCH($A10,'Power Summary'!$A:$A,0), FALSE), "")</f>
        <v/>
      </c>
      <c r="BD10" s="115"/>
      <c r="BE10" s="116"/>
    </row>
    <row r="11" spans="1:57" ht="15" customHeight="1" thickBot="1" x14ac:dyDescent="0.4">
      <c r="A11" s="214" t="s">
        <v>125</v>
      </c>
      <c r="B11" s="223">
        <v>114.8235294117647</v>
      </c>
      <c r="C11" s="224" t="str">
        <f>IFERROR(HLOOKUP(B$2,'Power Summary'!$B$1:$BS$24,MATCH($A11,'Power Summary'!$A:$A,0), FALSE), "")</f>
        <v/>
      </c>
      <c r="D11" s="218">
        <v>3.6470588235294117</v>
      </c>
      <c r="E11" s="91" t="str">
        <f>IFERROR(HLOOKUP(D$2,'Power Summary'!$B$1:$BS$24,MATCH($A11,'Power Summary'!$A:$A,0), FALSE), "")</f>
        <v/>
      </c>
      <c r="F11" s="107">
        <v>3.6470588235294117</v>
      </c>
      <c r="G11" s="92" t="str">
        <f>IFERROR(HLOOKUP(F$2,'Power Summary'!$B$1:$BS$24,MATCH($A11,'Power Summary'!$A:$A,0), FALSE), "")</f>
        <v/>
      </c>
      <c r="H11" s="103">
        <v>141.29411764705884</v>
      </c>
      <c r="I11" s="153" t="str">
        <f>IFERROR(HLOOKUP(H$2,'Power Summary'!$B$1:$BS$24,MATCH($A11,'Power Summary'!$A:$A,0), FALSE), "")</f>
        <v/>
      </c>
      <c r="J11" s="107">
        <v>114.82352941176471</v>
      </c>
      <c r="K11" s="92" t="str">
        <f>IFERROR(HLOOKUP(J$2,'Power Summary'!$B$1:$BS$24,MATCH($A11,'Power Summary'!$A:$A,0), FALSE), "")</f>
        <v/>
      </c>
      <c r="L11" s="103">
        <v>106.00000000000001</v>
      </c>
      <c r="M11" s="153" t="str">
        <f>IFERROR(HLOOKUP(L$2,'Power Summary'!$B$1:$BS$24,MATCH($A11,'Power Summary'!$A:$A,0), FALSE), "")</f>
        <v/>
      </c>
      <c r="N11" s="107">
        <v>1</v>
      </c>
      <c r="O11" s="92" t="str">
        <f>IFERROR(HLOOKUP(N$2,'Power Summary'!$B$1:$BS$24,MATCH($A11,'Power Summary'!$A:$A,0), FALSE), "")</f>
        <v/>
      </c>
      <c r="P11" s="103">
        <v>88.352941176470594</v>
      </c>
      <c r="Q11" s="153" t="str">
        <f>IFERROR(HLOOKUP(P$2,'Power Summary'!$B$1:$BS$24,MATCH($A11,'Power Summary'!$A:$A,0), FALSE), "")</f>
        <v/>
      </c>
      <c r="R11" s="107">
        <v>88.352941176470594</v>
      </c>
      <c r="S11" s="92" t="str">
        <f>IFERROR(HLOOKUP(R$2,'Power Summary'!$B$1:$BS$24,MATCH($A11,'Power Summary'!$A:$A,0), FALSE), "")</f>
        <v/>
      </c>
      <c r="T11" s="103">
        <v>1</v>
      </c>
      <c r="U11" s="153" t="str">
        <f>IFERROR(HLOOKUP(T$2,'Power Summary'!$B$1:$BS$24,MATCH($A11,'Power Summary'!$A:$A,0), FALSE), "")</f>
        <v/>
      </c>
      <c r="V11" s="107">
        <v>1</v>
      </c>
      <c r="W11" s="92" t="str">
        <f>IFERROR(HLOOKUP(V$2,'Power Summary'!$B$1:$BS$24,MATCH($A11,'Power Summary'!$A:$A,0), FALSE), "")</f>
        <v/>
      </c>
      <c r="X11" s="104">
        <v>123.64705882352942</v>
      </c>
      <c r="Y11" s="91" t="str">
        <f>IFERROR(HLOOKUP(X$2,'Power Summary'!$B$1:$BS$24,MATCH($A11,'Power Summary'!$A:$A,0), FALSE), "")</f>
        <v/>
      </c>
      <c r="Z11" s="107">
        <v>79.529411764705884</v>
      </c>
      <c r="AA11" s="154" t="str">
        <f>IFERROR(HLOOKUP(Z$2,'Power Summary'!$B$1:$BS$24,MATCH($A11,'Power Summary'!$A:$A,0), FALSE), "")</f>
        <v/>
      </c>
      <c r="AB11" s="103">
        <v>97.176470588235304</v>
      </c>
      <c r="AC11" s="153" t="str">
        <f>IFERROR(HLOOKUP(AB$2,'Power Summary'!$B$1:$BS$24,MATCH($A11,'Power Summary'!$A:$A,0), FALSE), "")</f>
        <v/>
      </c>
      <c r="AD11" s="107">
        <v>1</v>
      </c>
      <c r="AE11" s="92" t="str">
        <f>IFERROR(HLOOKUP(AD$2,'Power Summary'!$B$1:$BS$24,MATCH($A11,'Power Summary'!$A:$A,0), FALSE), "")</f>
        <v/>
      </c>
      <c r="AF11" s="103">
        <v>114.82352941176471</v>
      </c>
      <c r="AG11" s="153" t="str">
        <f>IFERROR(HLOOKUP(AF$2,'Power Summary'!$B$1:$BS$24,MATCH($A11,'Power Summary'!$A:$A,0), FALSE), "")</f>
        <v/>
      </c>
      <c r="AH11" s="107">
        <v>158.94117647058823</v>
      </c>
      <c r="AI11" s="92" t="str">
        <f>IFERROR(HLOOKUP(AH$2,'Power Summary'!$B$1:$BS$24,MATCH($A11,'Power Summary'!$A:$A,0), FALSE), "")</f>
        <v/>
      </c>
      <c r="AJ11" s="103">
        <v>35.411764705882355</v>
      </c>
      <c r="AK11" s="153" t="str">
        <f>IFERROR(HLOOKUP(AJ$2,'Power Summary'!$B$1:$BS$24,MATCH($A11,'Power Summary'!$A:$A,0), FALSE), "")</f>
        <v/>
      </c>
      <c r="AL11" s="107">
        <v>1</v>
      </c>
      <c r="AM11" s="92" t="str">
        <f>IFERROR(HLOOKUP(AL$2,'Power Summary'!$B$1:$BS$24,MATCH($A11,'Power Summary'!$A:$A,0), FALSE), "")</f>
        <v/>
      </c>
      <c r="AN11" s="104">
        <v>176.58823529411765</v>
      </c>
      <c r="AO11" s="91" t="str">
        <f>IFERROR(HLOOKUP(AN$2,'Power Summary'!$B$1:$BS$24,MATCH($A11,'Power Summary'!$A:$A,0), FALSE), "")</f>
        <v/>
      </c>
      <c r="AP11" s="107">
        <v>1</v>
      </c>
      <c r="AQ11" s="92" t="str">
        <f>IFERROR(HLOOKUP(AP$2,'Power Summary'!$B$1:$BS$24,MATCH($A11,'Power Summary'!$A:$A,0), FALSE), "")</f>
        <v/>
      </c>
      <c r="AR11" s="103">
        <v>132.47058823529412</v>
      </c>
      <c r="AS11" s="153" t="str">
        <f>IFERROR(HLOOKUP(AR$2,'Power Summary'!$B$1:$BS$24,MATCH($A11,'Power Summary'!$A:$A,0), FALSE), "")</f>
        <v/>
      </c>
      <c r="AT11" s="107">
        <v>70.705882352941188</v>
      </c>
      <c r="AU11" s="92" t="str">
        <f>IFERROR(HLOOKUP(AT$2,'Power Summary'!$B$1:$BS$24,MATCH($A11,'Power Summary'!$A:$A,0), FALSE), "")</f>
        <v/>
      </c>
      <c r="AV11" s="103">
        <v>3.6470588235294117</v>
      </c>
      <c r="AW11" s="153" t="str">
        <f>IFERROR(HLOOKUP(AV$2,'Power Summary'!$B$1:$BS$24,MATCH($A11,'Power Summary'!$A:$A,0), FALSE), "")</f>
        <v/>
      </c>
      <c r="AX11" s="107">
        <v>3.6470588235294117</v>
      </c>
      <c r="AY11" s="92" t="str">
        <f>IFERROR(HLOOKUP(AX$2,'Power Summary'!$B$1:$BS$24,MATCH($A11,'Power Summary'!$A:$A,0), FALSE), "")</f>
        <v/>
      </c>
      <c r="AZ11" s="103">
        <v>1</v>
      </c>
      <c r="BA11" s="153" t="str">
        <f>IFERROR(HLOOKUP(AZ$2,'Power Summary'!$B$1:$BS$24,MATCH($A11,'Power Summary'!$A:$A,0), FALSE), "")</f>
        <v/>
      </c>
      <c r="BB11" s="107">
        <v>1</v>
      </c>
      <c r="BC11" s="92" t="str">
        <f>IFERROR(HLOOKUP(BB$2,'Power Summary'!$B$1:$BS$24,MATCH($A11,'Power Summary'!$A:$A,0), FALSE), "")</f>
        <v/>
      </c>
      <c r="BD11" s="115"/>
      <c r="BE11" s="116"/>
    </row>
    <row r="12" spans="1:57" ht="15" customHeight="1" thickBot="1" x14ac:dyDescent="0.4">
      <c r="A12" s="214" t="s">
        <v>126</v>
      </c>
      <c r="B12" s="223">
        <v>82.5</v>
      </c>
      <c r="C12" s="224" t="str">
        <f>IFERROR(HLOOKUP(B$2,'Power Summary'!$B$1:$BS$24,MATCH($A12,'Power Summary'!$A:$A,0), FALSE), "")</f>
        <v/>
      </c>
      <c r="D12" s="218">
        <v>3</v>
      </c>
      <c r="E12" s="91" t="str">
        <f>IFERROR(HLOOKUP(D$2,'Power Summary'!$B$1:$BS$24,MATCH($A12,'Power Summary'!$A:$A,0), FALSE), "")</f>
        <v/>
      </c>
      <c r="F12" s="107">
        <v>10</v>
      </c>
      <c r="G12" s="92" t="str">
        <f>IFERROR(HLOOKUP(F$2,'Power Summary'!$B$1:$BS$24,MATCH($A12,'Power Summary'!$A:$A,0), FALSE), "")</f>
        <v/>
      </c>
      <c r="H12" s="103">
        <v>148.5</v>
      </c>
      <c r="I12" s="153" t="str">
        <f>IFERROR(HLOOKUP(H$2,'Power Summary'!$B$1:$BS$24,MATCH($A12,'Power Summary'!$A:$A,0), FALSE), "")</f>
        <v/>
      </c>
      <c r="J12" s="107">
        <v>93.500000000000014</v>
      </c>
      <c r="K12" s="92" t="str">
        <f>IFERROR(HLOOKUP(J$2,'Power Summary'!$B$1:$BS$24,MATCH($A12,'Power Summary'!$A:$A,0), FALSE), "")</f>
        <v/>
      </c>
      <c r="L12" s="103">
        <v>88</v>
      </c>
      <c r="M12" s="153" t="str">
        <f>IFERROR(HLOOKUP(L$2,'Power Summary'!$B$1:$BS$24,MATCH($A12,'Power Summary'!$A:$A,0), FALSE), "")</f>
        <v/>
      </c>
      <c r="N12" s="107">
        <v>38.5</v>
      </c>
      <c r="O12" s="92" t="str">
        <f>IFERROR(HLOOKUP(N$2,'Power Summary'!$B$1:$BS$24,MATCH($A12,'Power Summary'!$A:$A,0), FALSE), "")</f>
        <v/>
      </c>
      <c r="P12" s="103">
        <v>55.000000000000007</v>
      </c>
      <c r="Q12" s="153" t="str">
        <f>IFERROR(HLOOKUP(P$2,'Power Summary'!$B$1:$BS$24,MATCH($A12,'Power Summary'!$A:$A,0), FALSE), "")</f>
        <v/>
      </c>
      <c r="R12" s="107">
        <v>55.000000000000007</v>
      </c>
      <c r="S12" s="92" t="str">
        <f>IFERROR(HLOOKUP(R$2,'Power Summary'!$B$1:$BS$24,MATCH($A12,'Power Summary'!$A:$A,0), FALSE), "")</f>
        <v/>
      </c>
      <c r="T12" s="103">
        <v>0.5</v>
      </c>
      <c r="U12" s="153" t="str">
        <f>IFERROR(HLOOKUP(T$2,'Power Summary'!$B$1:$BS$24,MATCH($A12,'Power Summary'!$A:$A,0), FALSE), "")</f>
        <v/>
      </c>
      <c r="V12" s="107">
        <v>33</v>
      </c>
      <c r="W12" s="92" t="str">
        <f>IFERROR(HLOOKUP(V$2,'Power Summary'!$B$1:$BS$24,MATCH($A12,'Power Summary'!$A:$A,0), FALSE), "")</f>
        <v/>
      </c>
      <c r="X12" s="104">
        <v>143</v>
      </c>
      <c r="Y12" s="91" t="str">
        <f>IFERROR(HLOOKUP(X$2,'Power Summary'!$B$1:$BS$24,MATCH($A12,'Power Summary'!$A:$A,0), FALSE), "")</f>
        <v/>
      </c>
      <c r="Z12" s="107">
        <v>60.500000000000007</v>
      </c>
      <c r="AA12" s="154" t="str">
        <f>IFERROR(HLOOKUP(Z$2,'Power Summary'!$B$1:$BS$24,MATCH($A12,'Power Summary'!$A:$A,0), FALSE), "")</f>
        <v/>
      </c>
      <c r="AB12" s="103">
        <v>71.5</v>
      </c>
      <c r="AC12" s="153" t="str">
        <f>IFERROR(HLOOKUP(AB$2,'Power Summary'!$B$1:$BS$24,MATCH($A12,'Power Summary'!$A:$A,0), FALSE), "")</f>
        <v/>
      </c>
      <c r="AD12" s="107">
        <v>5.5</v>
      </c>
      <c r="AE12" s="92" t="str">
        <f>IFERROR(HLOOKUP(AD$2,'Power Summary'!$B$1:$BS$24,MATCH($A12,'Power Summary'!$A:$A,0), FALSE), "")</f>
        <v/>
      </c>
      <c r="AF12" s="103">
        <v>99.000000000000014</v>
      </c>
      <c r="AG12" s="153" t="str">
        <f>IFERROR(HLOOKUP(AF$2,'Power Summary'!$B$1:$BS$24,MATCH($A12,'Power Summary'!$A:$A,0), FALSE), "")</f>
        <v/>
      </c>
      <c r="AH12" s="107">
        <v>132</v>
      </c>
      <c r="AI12" s="92" t="str">
        <f>IFERROR(HLOOKUP(AH$2,'Power Summary'!$B$1:$BS$24,MATCH($A12,'Power Summary'!$A:$A,0), FALSE), "")</f>
        <v/>
      </c>
      <c r="AJ12" s="103">
        <v>10</v>
      </c>
      <c r="AK12" s="153" t="str">
        <f>IFERROR(HLOOKUP(AJ$2,'Power Summary'!$B$1:$BS$24,MATCH($A12,'Power Summary'!$A:$A,0), FALSE), "")</f>
        <v/>
      </c>
      <c r="AL12" s="107">
        <v>1</v>
      </c>
      <c r="AM12" s="92" t="str">
        <f>IFERROR(HLOOKUP(AL$2,'Power Summary'!$B$1:$BS$24,MATCH($A12,'Power Summary'!$A:$A,0), FALSE), "")</f>
        <v/>
      </c>
      <c r="AN12" s="104">
        <v>330</v>
      </c>
      <c r="AO12" s="91" t="str">
        <f>IFERROR(HLOOKUP(AN$2,'Power Summary'!$B$1:$BS$24,MATCH($A12,'Power Summary'!$A:$A,0), FALSE), "")</f>
        <v/>
      </c>
      <c r="AP12" s="107">
        <v>5.5</v>
      </c>
      <c r="AQ12" s="92" t="str">
        <f>IFERROR(HLOOKUP(AP$2,'Power Summary'!$B$1:$BS$24,MATCH($A12,'Power Summary'!$A:$A,0), FALSE), "")</f>
        <v/>
      </c>
      <c r="AR12" s="103">
        <v>15</v>
      </c>
      <c r="AS12" s="153" t="str">
        <f>IFERROR(HLOOKUP(AR$2,'Power Summary'!$B$1:$BS$24,MATCH($A12,'Power Summary'!$A:$A,0), FALSE), "")</f>
        <v/>
      </c>
      <c r="AT12" s="107">
        <v>49.500000000000007</v>
      </c>
      <c r="AU12" s="92" t="str">
        <f>IFERROR(HLOOKUP(AT$2,'Power Summary'!$B$1:$BS$24,MATCH($A12,'Power Summary'!$A:$A,0), FALSE), "")</f>
        <v/>
      </c>
      <c r="AV12" s="103">
        <v>10</v>
      </c>
      <c r="AW12" s="153" t="str">
        <f>IFERROR(HLOOKUP(AV$2,'Power Summary'!$B$1:$BS$24,MATCH($A12,'Power Summary'!$A:$A,0), FALSE), "")</f>
        <v/>
      </c>
      <c r="AX12" s="107">
        <v>3</v>
      </c>
      <c r="AY12" s="92" t="str">
        <f>IFERROR(HLOOKUP(AX$2,'Power Summary'!$B$1:$BS$24,MATCH($A12,'Power Summary'!$A:$A,0), FALSE), "")</f>
        <v/>
      </c>
      <c r="AZ12" s="103">
        <v>38.5</v>
      </c>
      <c r="BA12" s="153" t="str">
        <f>IFERROR(HLOOKUP(AZ$2,'Power Summary'!$B$1:$BS$24,MATCH($A12,'Power Summary'!$A:$A,0), FALSE), "")</f>
        <v/>
      </c>
      <c r="BB12" s="107">
        <v>1.1000000000000001</v>
      </c>
      <c r="BC12" s="92" t="str">
        <f>IFERROR(HLOOKUP(BB$2,'Power Summary'!$B$1:$BS$24,MATCH($A12,'Power Summary'!$A:$A,0), FALSE), "")</f>
        <v/>
      </c>
      <c r="BD12" s="115"/>
      <c r="BE12" s="116"/>
    </row>
    <row r="13" spans="1:57" ht="15" customHeight="1" thickBot="1" x14ac:dyDescent="0.4">
      <c r="A13" s="214" t="s">
        <v>127</v>
      </c>
      <c r="B13" s="223"/>
      <c r="C13" s="224" t="str">
        <f>IFERROR(HLOOKUP(B$2,'Power Summary'!$B$1:$BS$24,MATCH($A13,'Power Summary'!$A:$A,0), FALSE), "")</f>
        <v/>
      </c>
      <c r="D13" s="218"/>
      <c r="E13" s="91" t="str">
        <f>IFERROR(HLOOKUP(D$2,'Power Summary'!$B$1:$BS$24,MATCH($A13,'Power Summary'!$A:$A,0), FALSE), "")</f>
        <v/>
      </c>
      <c r="F13" s="107"/>
      <c r="G13" s="92" t="str">
        <f>IFERROR(HLOOKUP(F$2,'Power Summary'!$B$1:$BS$24,MATCH($A13,'Power Summary'!$A:$A,0), FALSE), "")</f>
        <v/>
      </c>
      <c r="H13" s="103"/>
      <c r="I13" s="153" t="str">
        <f>IFERROR(HLOOKUP(H$2,'Power Summary'!$B$1:$BS$24,MATCH($A13,'Power Summary'!$A:$A,0), FALSE), "")</f>
        <v/>
      </c>
      <c r="J13" s="107"/>
      <c r="K13" s="92" t="str">
        <f>IFERROR(HLOOKUP(J$2,'Power Summary'!$B$1:$BS$24,MATCH($A13,'Power Summary'!$A:$A,0), FALSE), "")</f>
        <v/>
      </c>
      <c r="L13" s="103"/>
      <c r="M13" s="153" t="str">
        <f>IFERROR(HLOOKUP(L$2,'Power Summary'!$B$1:$BS$24,MATCH($A13,'Power Summary'!$A:$A,0), FALSE), "")</f>
        <v/>
      </c>
      <c r="N13" s="107"/>
      <c r="O13" s="92" t="str">
        <f>IFERROR(HLOOKUP(N$2,'Power Summary'!$B$1:$BS$24,MATCH($A13,'Power Summary'!$A:$A,0), FALSE), "")</f>
        <v/>
      </c>
      <c r="P13" s="103"/>
      <c r="Q13" s="153" t="str">
        <f>IFERROR(HLOOKUP(P$2,'Power Summary'!$B$1:$BS$24,MATCH($A13,'Power Summary'!$A:$A,0), FALSE), "")</f>
        <v/>
      </c>
      <c r="R13" s="107"/>
      <c r="S13" s="92" t="str">
        <f>IFERROR(HLOOKUP(R$2,'Power Summary'!$B$1:$BS$24,MATCH($A13,'Power Summary'!$A:$A,0), FALSE), "")</f>
        <v/>
      </c>
      <c r="T13" s="103"/>
      <c r="U13" s="153" t="str">
        <f>IFERROR(HLOOKUP(T$2,'Power Summary'!$B$1:$BS$24,MATCH($A13,'Power Summary'!$A:$A,0), FALSE), "")</f>
        <v/>
      </c>
      <c r="V13" s="107"/>
      <c r="W13" s="92" t="str">
        <f>IFERROR(HLOOKUP(V$2,'Power Summary'!$B$1:$BS$24,MATCH($A13,'Power Summary'!$A:$A,0), FALSE), "")</f>
        <v/>
      </c>
      <c r="X13" s="104"/>
      <c r="Y13" s="91" t="str">
        <f>IFERROR(HLOOKUP(X$2,'Power Summary'!$B$1:$BS$24,MATCH($A13,'Power Summary'!$A:$A,0), FALSE), "")</f>
        <v/>
      </c>
      <c r="Z13" s="107"/>
      <c r="AA13" s="154" t="str">
        <f>IFERROR(HLOOKUP(Z$2,'Power Summary'!$B$1:$BS$24,MATCH($A13,'Power Summary'!$A:$A,0), FALSE), "")</f>
        <v/>
      </c>
      <c r="AB13" s="103"/>
      <c r="AC13" s="153" t="str">
        <f>IFERROR(HLOOKUP(AB$2,'Power Summary'!$B$1:$BS$24,MATCH($A13,'Power Summary'!$A:$A,0), FALSE), "")</f>
        <v/>
      </c>
      <c r="AD13" s="107"/>
      <c r="AE13" s="92" t="str">
        <f>IFERROR(HLOOKUP(AD$2,'Power Summary'!$B$1:$BS$24,MATCH($A13,'Power Summary'!$A:$A,0), FALSE), "")</f>
        <v/>
      </c>
      <c r="AF13" s="103"/>
      <c r="AG13" s="153" t="str">
        <f>IFERROR(HLOOKUP(AF$2,'Power Summary'!$B$1:$BS$24,MATCH($A13,'Power Summary'!$A:$A,0), FALSE), "")</f>
        <v/>
      </c>
      <c r="AH13" s="107"/>
      <c r="AI13" s="92" t="str">
        <f>IFERROR(HLOOKUP(AH$2,'Power Summary'!$B$1:$BS$24,MATCH($A13,'Power Summary'!$A:$A,0), FALSE), "")</f>
        <v/>
      </c>
      <c r="AJ13" s="103"/>
      <c r="AK13" s="153" t="str">
        <f>IFERROR(HLOOKUP(AJ$2,'Power Summary'!$B$1:$BS$24,MATCH($A13,'Power Summary'!$A:$A,0), FALSE), "")</f>
        <v/>
      </c>
      <c r="AL13" s="107"/>
      <c r="AM13" s="92" t="str">
        <f>IFERROR(HLOOKUP(AL$2,'Power Summary'!$B$1:$BS$24,MATCH($A13,'Power Summary'!$A:$A,0), FALSE), "")</f>
        <v/>
      </c>
      <c r="AN13" s="104"/>
      <c r="AO13" s="91" t="str">
        <f>IFERROR(HLOOKUP(AN$2,'Power Summary'!$B$1:$BS$24,MATCH($A13,'Power Summary'!$A:$A,0), FALSE), "")</f>
        <v/>
      </c>
      <c r="AP13" s="107"/>
      <c r="AQ13" s="92" t="str">
        <f>IFERROR(HLOOKUP(AP$2,'Power Summary'!$B$1:$BS$24,MATCH($A13,'Power Summary'!$A:$A,0), FALSE), "")</f>
        <v/>
      </c>
      <c r="AR13" s="103"/>
      <c r="AS13" s="153" t="str">
        <f>IFERROR(HLOOKUP(AR$2,'Power Summary'!$B$1:$BS$24,MATCH($A13,'Power Summary'!$A:$A,0), FALSE), "")</f>
        <v/>
      </c>
      <c r="AT13" s="107"/>
      <c r="AU13" s="92" t="str">
        <f>IFERROR(HLOOKUP(AT$2,'Power Summary'!$B$1:$BS$24,MATCH($A13,'Power Summary'!$A:$A,0), FALSE), "")</f>
        <v/>
      </c>
      <c r="AV13" s="103"/>
      <c r="AW13" s="153" t="str">
        <f>IFERROR(HLOOKUP(AV$2,'Power Summary'!$B$1:$BS$24,MATCH($A13,'Power Summary'!$A:$A,0), FALSE), "")</f>
        <v/>
      </c>
      <c r="AX13" s="107"/>
      <c r="AY13" s="92" t="str">
        <f>IFERROR(HLOOKUP(AX$2,'Power Summary'!$B$1:$BS$24,MATCH($A13,'Power Summary'!$A:$A,0), FALSE), "")</f>
        <v/>
      </c>
      <c r="AZ13" s="103"/>
      <c r="BA13" s="153" t="str">
        <f>IFERROR(HLOOKUP(AZ$2,'Power Summary'!$B$1:$BS$24,MATCH($A13,'Power Summary'!$A:$A,0), FALSE), "")</f>
        <v/>
      </c>
      <c r="BB13" s="107"/>
      <c r="BC13" s="92" t="str">
        <f>IFERROR(HLOOKUP(BB$2,'Power Summary'!$B$1:$BS$24,MATCH($A13,'Power Summary'!$A:$A,0), FALSE), "")</f>
        <v/>
      </c>
      <c r="BD13" s="115"/>
      <c r="BE13" s="116"/>
    </row>
    <row r="14" spans="1:57" ht="15" customHeight="1" thickBot="1" x14ac:dyDescent="0.4">
      <c r="A14" s="214" t="s">
        <v>128</v>
      </c>
      <c r="B14" s="223">
        <f>B15-SUBTOTAL(109, B4:B12)</f>
        <v>25.636239344804835</v>
      </c>
      <c r="C14" s="224" t="str">
        <f>IFERROR(HLOOKUP(B$2,'Power Summary'!$B$1:$BS$24,MATCH($A14,'Power Summary'!$A:$A,0), FALSE), "")</f>
        <v/>
      </c>
      <c r="D14" s="218">
        <v>12.447154238041541</v>
      </c>
      <c r="E14" s="91" t="str">
        <f>IFERROR(HLOOKUP(D$2,'Power Summary'!$B$1:$BS$24,MATCH($A14,'Power Summary'!$A:$A,0), FALSE), "")</f>
        <v/>
      </c>
      <c r="F14" s="107">
        <v>12.448257772736874</v>
      </c>
      <c r="G14" s="92" t="str">
        <f>IFERROR(HLOOKUP(F$2,'Power Summary'!$B$1:$BS$24,MATCH($A14,'Power Summary'!$A:$A,0), FALSE), "")</f>
        <v/>
      </c>
      <c r="H14" s="103">
        <v>23.457548649948876</v>
      </c>
      <c r="I14" s="153" t="str">
        <f>IFERROR(HLOOKUP(H$2,'Power Summary'!$B$1:$BS$24,MATCH($A14,'Power Summary'!$A:$A,0), FALSE), "")</f>
        <v/>
      </c>
      <c r="J14" s="107">
        <v>18.784929005866388</v>
      </c>
      <c r="K14" s="92" t="str">
        <f>IFERROR(HLOOKUP(J$2,'Power Summary'!$B$1:$BS$24,MATCH($A14,'Power Summary'!$A:$A,0), FALSE), "")</f>
        <v/>
      </c>
      <c r="L14" s="103">
        <v>21.535025234234126</v>
      </c>
      <c r="M14" s="153" t="str">
        <f>IFERROR(HLOOKUP(L$2,'Power Summary'!$B$1:$BS$24,MATCH($A14,'Power Summary'!$A:$A,0), FALSE), "")</f>
        <v/>
      </c>
      <c r="N14" s="107">
        <v>18.753504652064521</v>
      </c>
      <c r="O14" s="92" t="str">
        <f>IFERROR(HLOOKUP(N$2,'Power Summary'!$B$1:$BS$24,MATCH($A14,'Power Summary'!$A:$A,0), FALSE), "")</f>
        <v/>
      </c>
      <c r="P14" s="103">
        <v>19.852662846062344</v>
      </c>
      <c r="Q14" s="153" t="str">
        <f>IFERROR(HLOOKUP(P$2,'Power Summary'!$B$1:$BS$24,MATCH($A14,'Power Summary'!$A:$A,0), FALSE), "")</f>
        <v/>
      </c>
      <c r="R14" s="107">
        <v>19.852662846062685</v>
      </c>
      <c r="S14" s="92" t="str">
        <f>IFERROR(HLOOKUP(R$2,'Power Summary'!$B$1:$BS$24,MATCH($A14,'Power Summary'!$A:$A,0), FALSE), "")</f>
        <v/>
      </c>
      <c r="T14" s="103">
        <v>17.56626739772355</v>
      </c>
      <c r="U14" s="153" t="str">
        <f>IFERROR(HLOOKUP(T$2,'Power Summary'!$B$1:$BS$24,MATCH($A14,'Power Summary'!$A:$A,0), FALSE), "")</f>
        <v/>
      </c>
      <c r="V14" s="107">
        <v>17.483842744814979</v>
      </c>
      <c r="W14" s="92" t="str">
        <f>IFERROR(HLOOKUP(V$2,'Power Summary'!$B$1:$BS$24,MATCH($A14,'Power Summary'!$A:$A,0), FALSE), "")</f>
        <v/>
      </c>
      <c r="X14" s="104">
        <v>1.7474044327504998</v>
      </c>
      <c r="Y14" s="91" t="str">
        <f>IFERROR(HLOOKUP(X$2,'Power Summary'!$B$1:$BS$24,MATCH($A14,'Power Summary'!$A:$A,0), FALSE), "")</f>
        <v/>
      </c>
      <c r="Z14" s="107">
        <v>23.360849234707985</v>
      </c>
      <c r="AA14" s="154" t="str">
        <f>IFERROR(HLOOKUP(Z$2,'Power Summary'!$B$1:$BS$24,MATCH($A14,'Power Summary'!$A:$A,0), FALSE), "")</f>
        <v/>
      </c>
      <c r="AB14" s="103">
        <v>20.4485267291127</v>
      </c>
      <c r="AC14" s="153" t="str">
        <f>IFERROR(HLOOKUP(AB$2,'Power Summary'!$B$1:$BS$24,MATCH($A14,'Power Summary'!$A:$A,0), FALSE), "")</f>
        <v/>
      </c>
      <c r="AD14" s="107">
        <v>503.70162352941179</v>
      </c>
      <c r="AE14" s="92" t="str">
        <f>IFERROR(HLOOKUP(AD$2,'Power Summary'!$B$1:$BS$24,MATCH($A14,'Power Summary'!$A:$A,0), FALSE), "")</f>
        <v/>
      </c>
      <c r="AF14" s="103">
        <v>24.619081752252441</v>
      </c>
      <c r="AG14" s="153" t="str">
        <f>IFERROR(HLOOKUP(AF$2,'Power Summary'!$B$1:$BS$24,MATCH($A14,'Power Summary'!$A:$A,0), FALSE), "")</f>
        <v/>
      </c>
      <c r="AH14" s="107">
        <v>18.352807486002803</v>
      </c>
      <c r="AI14" s="92" t="str">
        <f>IFERROR(HLOOKUP(AH$2,'Power Summary'!$B$1:$BS$24,MATCH($A14,'Power Summary'!$A:$A,0), FALSE), "")</f>
        <v/>
      </c>
      <c r="AJ14" s="103">
        <v>16.998800277245095</v>
      </c>
      <c r="AK14" s="153" t="str">
        <f>IFERROR(HLOOKUP(AJ$2,'Power Summary'!$B$1:$BS$24,MATCH($A14,'Power Summary'!$A:$A,0), FALSE), "")</f>
        <v/>
      </c>
      <c r="AL14" s="107">
        <v>12.446176337825534</v>
      </c>
      <c r="AM14" s="92" t="str">
        <f>IFERROR(HLOOKUP(AL$2,'Power Summary'!$B$1:$BS$24,MATCH($A14,'Power Summary'!$A:$A,0), FALSE), "")</f>
        <v/>
      </c>
      <c r="AN14" s="104">
        <v>24.332449134941271</v>
      </c>
      <c r="AO14" s="91" t="str">
        <f>IFERROR(HLOOKUP(AN$2,'Power Summary'!$B$1:$BS$24,MATCH($A14,'Power Summary'!$A:$A,0), FALSE), "")</f>
        <v/>
      </c>
      <c r="AP14" s="107">
        <v>503.70162352941179</v>
      </c>
      <c r="AQ14" s="92" t="str">
        <f>IFERROR(HLOOKUP(AP$2,'Power Summary'!$B$1:$BS$24,MATCH($A14,'Power Summary'!$A:$A,0), FALSE), "")</f>
        <v/>
      </c>
      <c r="AR14" s="103">
        <v>17.033095014111836</v>
      </c>
      <c r="AS14" s="153" t="str">
        <f>IFERROR(HLOOKUP(AR$2,'Power Summary'!$B$1:$BS$24,MATCH($A14,'Power Summary'!$A:$A,0), FALSE), "")</f>
        <v/>
      </c>
      <c r="AT14" s="107">
        <v>18.188690618632336</v>
      </c>
      <c r="AU14" s="92" t="str">
        <f>IFERROR(HLOOKUP(AT$2,'Power Summary'!$B$1:$BS$24,MATCH($A14,'Power Summary'!$A:$A,0), FALSE), "")</f>
        <v/>
      </c>
      <c r="AV14" s="103">
        <v>12.447661947999741</v>
      </c>
      <c r="AW14" s="153" t="str">
        <f>IFERROR(HLOOKUP(AV$2,'Power Summary'!$B$1:$BS$24,MATCH($A14,'Power Summary'!$A:$A,0), FALSE), "")</f>
        <v/>
      </c>
      <c r="AX14" s="107">
        <v>12.44787981730159</v>
      </c>
      <c r="AY14" s="92" t="str">
        <f>IFERROR(HLOOKUP(AX$2,'Power Summary'!$B$1:$BS$24,MATCH($A14,'Power Summary'!$A:$A,0), FALSE), "")</f>
        <v/>
      </c>
      <c r="AZ14" s="103">
        <v>18.753504652064294</v>
      </c>
      <c r="BA14" s="153" t="str">
        <f>IFERROR(HLOOKUP(AZ$2,'Power Summary'!$B$1:$BS$24,MATCH($A14,'Power Summary'!$A:$A,0), FALSE), "")</f>
        <v/>
      </c>
      <c r="BB14" s="107">
        <v>18.539210133992469</v>
      </c>
      <c r="BC14" s="92" t="str">
        <f>IFERROR(HLOOKUP(BB$2,'Power Summary'!$B$1:$BS$24,MATCH($A14,'Power Summary'!$A:$A,0), FALSE), "")</f>
        <v/>
      </c>
      <c r="BD14" s="115"/>
      <c r="BE14" s="116"/>
    </row>
    <row r="15" spans="1:57" s="1" customFormat="1" ht="15" customHeight="1" thickTop="1" thickBot="1" x14ac:dyDescent="0.4">
      <c r="A15" s="215" t="s">
        <v>129</v>
      </c>
      <c r="B15" s="225">
        <v>1692.862121697746</v>
      </c>
      <c r="C15" s="226" t="str">
        <f>IFERROR(HLOOKUP(B$2,'Power Summary'!$B$1:$BS$24,MATCH($A15,'Power Summary'!$A:$A,0), FALSE), "")</f>
        <v/>
      </c>
      <c r="D15" s="231">
        <v>55.576543453283186</v>
      </c>
      <c r="E15" s="177" t="str">
        <f>IFERROR(HLOOKUP(D$2,'Power Summary'!$B$1:$BS$24,MATCH($A15,'Power Summary'!$A:$A,0), FALSE), "")</f>
        <v/>
      </c>
      <c r="F15" s="108">
        <v>65.877646987978522</v>
      </c>
      <c r="G15" s="179" t="str">
        <f>IFERROR(HLOOKUP(F$2,'Power Summary'!$B$1:$BS$24,MATCH($A15,'Power Summary'!$A:$A,0), FALSE), "")</f>
        <v/>
      </c>
      <c r="H15" s="180">
        <v>2168.3763721793603</v>
      </c>
      <c r="I15" s="181" t="str">
        <f>IFERROR(HLOOKUP(H$2,'Power Summary'!$B$1:$BS$24,MATCH($A15,'Power Summary'!$A:$A,0), FALSE), "")</f>
        <v/>
      </c>
      <c r="J15" s="178">
        <v>1304.483752535278</v>
      </c>
      <c r="K15" s="179" t="str">
        <f>IFERROR(HLOOKUP(J$2,'Power Summary'!$B$1:$BS$24,MATCH($A15,'Power Summary'!$A:$A,0), FALSE), "")</f>
        <v/>
      </c>
      <c r="L15" s="180">
        <v>1298.2926722930576</v>
      </c>
      <c r="M15" s="181" t="str">
        <f>IFERROR(HLOOKUP(L$2,'Power Summary'!$B$1:$BS$24,MATCH($A15,'Power Summary'!$A:$A,0), FALSE), "")</f>
        <v/>
      </c>
      <c r="N15" s="178">
        <v>1057.0346811226527</v>
      </c>
      <c r="O15" s="179" t="str">
        <f>IFERROR(HLOOKUP(N$2,'Power Summary'!$B$1:$BS$24,MATCH($A15,'Power Summary'!$A:$A,0), FALSE), "")</f>
        <v/>
      </c>
      <c r="P15" s="180">
        <v>1025.1397216695918</v>
      </c>
      <c r="Q15" s="181" t="str">
        <f>IFERROR(HLOOKUP(P$2,'Power Summary'!$B$1:$BS$24,MATCH($A15,'Power Summary'!$A:$A,0), FALSE), "")</f>
        <v/>
      </c>
      <c r="R15" s="178">
        <v>1456.3161922578272</v>
      </c>
      <c r="S15" s="179" t="str">
        <f>IFERROR(HLOOKUP(R$2,'Power Summary'!$B$1:$BS$24,MATCH($A15,'Power Summary'!$A:$A,0), FALSE), "")</f>
        <v/>
      </c>
      <c r="T15" s="180">
        <v>918.67276955414172</v>
      </c>
      <c r="U15" s="181" t="str">
        <f>IFERROR(HLOOKUP(T$2,'Power Summary'!$B$1:$BS$24,MATCH($A15,'Power Summary'!$A:$A,0), FALSE), "")</f>
        <v/>
      </c>
      <c r="V15" s="178">
        <v>817.30031333305033</v>
      </c>
      <c r="W15" s="179" t="str">
        <f>IFERROR(HLOOKUP(V$2,'Power Summary'!$B$1:$BS$24,MATCH($A15,'Power Summary'!$A:$A,0), FALSE), "")</f>
        <v/>
      </c>
      <c r="X15" s="176">
        <v>1733.7462279621623</v>
      </c>
      <c r="Y15" s="177" t="str">
        <f>IFERROR(HLOOKUP(X$2,'Power Summary'!$B$1:$BS$24,MATCH($A15,'Power Summary'!$A:$A,0), FALSE), "")</f>
        <v/>
      </c>
      <c r="Z15" s="178">
        <v>2477.6111710280202</v>
      </c>
      <c r="AA15" s="179" t="str">
        <f>IFERROR(HLOOKUP(Z$2,'Power Summary'!$B$1:$BS$24,MATCH($A15,'Power Summary'!$A:$A,0), FALSE), "")</f>
        <v/>
      </c>
      <c r="AB15" s="180">
        <v>1674.9555855526419</v>
      </c>
      <c r="AC15" s="181" t="str">
        <f>IFERROR(HLOOKUP(AB$2,'Power Summary'!$B$1:$BS$24,MATCH($A15,'Power Summary'!$A:$A,0), FALSE), "")</f>
        <v/>
      </c>
      <c r="AD15" s="178">
        <v>2789.3851529411763</v>
      </c>
      <c r="AE15" s="179" t="str">
        <f>IFERROR(HLOOKUP(AD$2,'Power Summary'!$B$1:$BS$24,MATCH($A15,'Power Summary'!$A:$A,0), FALSE), "")</f>
        <v/>
      </c>
      <c r="AF15" s="180">
        <v>2298.5756707113505</v>
      </c>
      <c r="AG15" s="181" t="str">
        <f>IFERROR(HLOOKUP(AF$2,'Power Summary'!$B$1:$BS$24,MATCH($A15,'Power Summary'!$A:$A,0), FALSE), "")</f>
        <v/>
      </c>
      <c r="AH15" s="178">
        <v>1212.4775133683559</v>
      </c>
      <c r="AI15" s="179" t="str">
        <f>IFERROR(HLOOKUP(AH$2,'Power Summary'!$B$1:$BS$24,MATCH($A15,'Power Summary'!$A:$A,0), FALSE), "")</f>
        <v/>
      </c>
      <c r="AJ15" s="180">
        <v>543.7229494924868</v>
      </c>
      <c r="AK15" s="181" t="str">
        <f>IFERROR(HLOOKUP(AJ$2,'Power Summary'!$B$1:$BS$24,MATCH($A15,'Power Summary'!$A:$A,0), FALSE), "")</f>
        <v/>
      </c>
      <c r="AL15" s="178">
        <v>43.928506729537773</v>
      </c>
      <c r="AM15" s="179" t="str">
        <f>IFERROR(HLOOKUP(AL$2,'Power Summary'!$B$1:$BS$24,MATCH($A15,'Power Summary'!$A:$A,0), FALSE), "")</f>
        <v/>
      </c>
      <c r="AN15" s="176">
        <v>2668.8771550172942</v>
      </c>
      <c r="AO15" s="177" t="str">
        <f>IFERROR(HLOOKUP(AN$2,'Power Summary'!$B$1:$BS$24,MATCH($A15,'Power Summary'!$A:$A,0), FALSE), "")</f>
        <v/>
      </c>
      <c r="AP15" s="178">
        <v>3897.2145647058824</v>
      </c>
      <c r="AQ15" s="179" t="str">
        <f>IFERROR(HLOOKUP(AP$2,'Power Summary'!$B$1:$BS$24,MATCH($A15,'Power Summary'!$A:$A,0), FALSE), "")</f>
        <v/>
      </c>
      <c r="AR15" s="180">
        <v>573.56838913175886</v>
      </c>
      <c r="AS15" s="181" t="str">
        <f>IFERROR(HLOOKUP(AR$2,'Power Summary'!$B$1:$BS$24,MATCH($A15,'Power Summary'!$A:$A,0), FALSE), "")</f>
        <v/>
      </c>
      <c r="AT15" s="178">
        <v>1149.7404553245146</v>
      </c>
      <c r="AU15" s="179" t="str">
        <f>IFERROR(HLOOKUP(AT$2,'Power Summary'!$B$1:$BS$24,MATCH($A15,'Power Summary'!$A:$A,0), FALSE), "")</f>
        <v/>
      </c>
      <c r="AV15" s="180">
        <v>60.577051163241393</v>
      </c>
      <c r="AW15" s="181" t="str">
        <f>IFERROR(HLOOKUP(AV$2,'Power Summary'!$B$1:$BS$24,MATCH($A15,'Power Summary'!$A:$A,0), FALSE), "")</f>
        <v/>
      </c>
      <c r="AX15" s="178">
        <v>62.577269032543235</v>
      </c>
      <c r="AY15" s="179" t="str">
        <f>IFERROR(HLOOKUP(AX$2,'Power Summary'!$B$1:$BS$24,MATCH($A15,'Power Summary'!$A:$A,0), FALSE), "")</f>
        <v/>
      </c>
      <c r="AZ15" s="180">
        <v>644.21503986360858</v>
      </c>
      <c r="BA15" s="181" t="str">
        <f>IFERROR(HLOOKUP(AZ$2,'Power Summary'!$B$1:$BS$24,MATCH($A15,'Power Summary'!$A:$A,0), FALSE), "")</f>
        <v/>
      </c>
      <c r="BB15" s="178">
        <v>954.4203866045807</v>
      </c>
      <c r="BC15" s="179" t="str">
        <f>IFERROR(HLOOKUP(BB$2,'Power Summary'!$B$1:$BS$24,MATCH($A15,'Power Summary'!$A:$A,0), FALSE), "")</f>
        <v/>
      </c>
      <c r="BD15" s="115"/>
      <c r="BE15" s="116"/>
    </row>
    <row r="16" spans="1:57" s="10" customFormat="1" ht="15" customHeight="1" thickBot="1" x14ac:dyDescent="0.4">
      <c r="A16" s="216" t="s">
        <v>130</v>
      </c>
      <c r="B16" s="227">
        <v>20</v>
      </c>
      <c r="C16" s="228" t="str">
        <f>IFERROR(HLOOKUP(B$2,'Power Summary'!$B$1:$BS$24,MATCH($A16,'Power Summary'!$A:$A,0), FALSE), "")</f>
        <v/>
      </c>
      <c r="D16" s="232">
        <v>20</v>
      </c>
      <c r="E16" s="183" t="str">
        <f>IFERROR(HLOOKUP(D$2,'Power Summary'!$B$1:$BS$24,MATCH($A16,'Power Summary'!$A:$A,0), FALSE), "")</f>
        <v/>
      </c>
      <c r="F16" s="109">
        <v>10</v>
      </c>
      <c r="G16" s="185" t="str">
        <f>IFERROR(HLOOKUP(F$2,'Power Summary'!$B$1:$BS$24,MATCH($A16,'Power Summary'!$A:$A,0), FALSE), "")</f>
        <v/>
      </c>
      <c r="H16" s="186">
        <v>10</v>
      </c>
      <c r="I16" s="187" t="str">
        <f>IFERROR(HLOOKUP(H$2,'Power Summary'!$B$1:$BS$24,MATCH($A16,'Power Summary'!$A:$A,0), FALSE), "")</f>
        <v/>
      </c>
      <c r="J16" s="184">
        <v>20</v>
      </c>
      <c r="K16" s="185" t="str">
        <f>IFERROR(HLOOKUP(J$2,'Power Summary'!$B$1:$BS$24,MATCH($A16,'Power Summary'!$A:$A,0), FALSE), "")</f>
        <v/>
      </c>
      <c r="L16" s="186">
        <v>20</v>
      </c>
      <c r="M16" s="187" t="str">
        <f>IFERROR(HLOOKUP(L$2,'Power Summary'!$B$1:$BS$24,MATCH($A16,'Power Summary'!$A:$A,0), FALSE), "")</f>
        <v/>
      </c>
      <c r="N16" s="184">
        <v>10</v>
      </c>
      <c r="O16" s="185" t="str">
        <f>IFERROR(HLOOKUP(N$2,'Power Summary'!$B$1:$BS$24,MATCH($A16,'Power Summary'!$A:$A,0), FALSE), "")</f>
        <v/>
      </c>
      <c r="P16" s="186"/>
      <c r="Q16" s="187" t="str">
        <f>IFERROR(HLOOKUP(P$2,'Power Summary'!$B$1:$BS$24,MATCH($A16,'Power Summary'!$A:$A,0), FALSE), "")</f>
        <v/>
      </c>
      <c r="R16" s="184"/>
      <c r="S16" s="185" t="str">
        <f>IFERROR(HLOOKUP(R$2,'Power Summary'!$B$1:$BS$24,MATCH($A16,'Power Summary'!$A:$A,0), FALSE), "")</f>
        <v/>
      </c>
      <c r="T16" s="186">
        <v>10</v>
      </c>
      <c r="U16" s="187" t="str">
        <f>IFERROR(HLOOKUP(T$2,'Power Summary'!$B$1:$BS$24,MATCH($A16,'Power Summary'!$A:$A,0), FALSE), "")</f>
        <v/>
      </c>
      <c r="V16" s="184">
        <v>20</v>
      </c>
      <c r="W16" s="185" t="str">
        <f>IFERROR(HLOOKUP(V$2,'Power Summary'!$B$1:$BS$24,MATCH($A16,'Power Summary'!$A:$A,0), FALSE), "")</f>
        <v/>
      </c>
      <c r="X16" s="182">
        <v>20</v>
      </c>
      <c r="Y16" s="183" t="str">
        <f>IFERROR(HLOOKUP(X$2,'Power Summary'!$B$1:$BS$24,MATCH($A16,'Power Summary'!$A:$A,0), FALSE), "")</f>
        <v/>
      </c>
      <c r="Z16" s="184">
        <v>10</v>
      </c>
      <c r="AA16" s="185" t="str">
        <f>IFERROR(HLOOKUP(Z$2,'Power Summary'!$B$1:$BS$24,MATCH($A16,'Power Summary'!$A:$A,0), FALSE), "")</f>
        <v/>
      </c>
      <c r="AB16" s="186">
        <v>10</v>
      </c>
      <c r="AC16" s="187" t="str">
        <f>IFERROR(HLOOKUP(AB$2,'Power Summary'!$B$1:$BS$24,MATCH($A16,'Power Summary'!$A:$A,0), FALSE), "")</f>
        <v/>
      </c>
      <c r="AD16" s="184">
        <v>10</v>
      </c>
      <c r="AE16" s="185" t="str">
        <f>IFERROR(HLOOKUP(AD$2,'Power Summary'!$B$1:$BS$24,MATCH($A16,'Power Summary'!$A:$A,0), FALSE), "")</f>
        <v/>
      </c>
      <c r="AF16" s="186">
        <v>10</v>
      </c>
      <c r="AG16" s="187" t="str">
        <f>IFERROR(HLOOKUP(AF$2,'Power Summary'!$B$1:$BS$24,MATCH($A16,'Power Summary'!$A:$A,0), FALSE), "")</f>
        <v/>
      </c>
      <c r="AH16" s="184">
        <v>10</v>
      </c>
      <c r="AI16" s="185" t="str">
        <f>IFERROR(HLOOKUP(AH$2,'Power Summary'!$B$1:$BS$24,MATCH($A16,'Power Summary'!$A:$A,0), FALSE), "")</f>
        <v/>
      </c>
      <c r="AJ16" s="186">
        <v>10</v>
      </c>
      <c r="AK16" s="187" t="str">
        <f>IFERROR(HLOOKUP(AJ$2,'Power Summary'!$B$1:$BS$24,MATCH($A16,'Power Summary'!$A:$A,0), FALSE), "")</f>
        <v/>
      </c>
      <c r="AL16" s="184">
        <v>20</v>
      </c>
      <c r="AM16" s="185" t="str">
        <f>IFERROR(HLOOKUP(AL$2,'Power Summary'!$B$1:$BS$24,MATCH($A16,'Power Summary'!$A:$A,0), FALSE), "")</f>
        <v/>
      </c>
      <c r="AN16" s="182">
        <v>20</v>
      </c>
      <c r="AO16" s="183" t="str">
        <f>IFERROR(HLOOKUP(AN$2,'Power Summary'!$B$1:$BS$24,MATCH($A16,'Power Summary'!$A:$A,0), FALSE), "")</f>
        <v/>
      </c>
      <c r="AP16" s="184">
        <v>20</v>
      </c>
      <c r="AQ16" s="185" t="str">
        <f>IFERROR(HLOOKUP(AP$2,'Power Summary'!$B$1:$BS$24,MATCH($A16,'Power Summary'!$A:$A,0), FALSE), "")</f>
        <v/>
      </c>
      <c r="AR16" s="186">
        <v>20</v>
      </c>
      <c r="AS16" s="187" t="str">
        <f>IFERROR(HLOOKUP(AR$2,'Power Summary'!$B$1:$BS$24,MATCH($A16,'Power Summary'!$A:$A,0), FALSE), "")</f>
        <v/>
      </c>
      <c r="AT16" s="184">
        <v>20</v>
      </c>
      <c r="AU16" s="185" t="str">
        <f>IFERROR(HLOOKUP(AT$2,'Power Summary'!$B$1:$BS$24,MATCH($A16,'Power Summary'!$A:$A,0), FALSE), "")</f>
        <v/>
      </c>
      <c r="AV16" s="186">
        <v>10</v>
      </c>
      <c r="AW16" s="187" t="str">
        <f>IFERROR(HLOOKUP(AV$2,'Power Summary'!$B$1:$BS$24,MATCH($A16,'Power Summary'!$A:$A,0), FALSE), "")</f>
        <v/>
      </c>
      <c r="AX16" s="184">
        <v>10</v>
      </c>
      <c r="AY16" s="185" t="str">
        <f>IFERROR(HLOOKUP(AX$2,'Power Summary'!$B$1:$BS$24,MATCH($A16,'Power Summary'!$A:$A,0), FALSE), "")</f>
        <v/>
      </c>
      <c r="AZ16" s="186">
        <v>10</v>
      </c>
      <c r="BA16" s="187" t="str">
        <f>IFERROR(HLOOKUP(AZ$2,'Power Summary'!$B$1:$BS$24,MATCH($A16,'Power Summary'!$A:$A,0), FALSE), "")</f>
        <v/>
      </c>
      <c r="BB16" s="184">
        <v>20</v>
      </c>
      <c r="BC16" s="185" t="str">
        <f>IFERROR(HLOOKUP(BB$2,'Power Summary'!$B$1:$BS$24,MATCH($A16,'Power Summary'!$A:$A,0), FALSE), "")</f>
        <v/>
      </c>
      <c r="BD16" s="115"/>
      <c r="BE16" s="116"/>
    </row>
    <row r="17" spans="1:57" x14ac:dyDescent="0.35">
      <c r="A17" s="11"/>
      <c r="BD17" s="115"/>
      <c r="BE17" s="116"/>
    </row>
    <row r="18" spans="1:57" x14ac:dyDescent="0.35">
      <c r="A18" s="11"/>
      <c r="Y18" s="67"/>
      <c r="BD18" s="115"/>
      <c r="BE18" s="116"/>
    </row>
    <row r="19" spans="1:57" x14ac:dyDescent="0.35">
      <c r="A19" s="11"/>
      <c r="Y19" s="67"/>
      <c r="BD19" s="115"/>
      <c r="BE19" s="116"/>
    </row>
    <row r="20" spans="1:57" x14ac:dyDescent="0.35">
      <c r="A20" s="11"/>
      <c r="Y20" s="67"/>
      <c r="BD20" s="115"/>
      <c r="BE20" s="116"/>
    </row>
    <row r="21" spans="1:57" x14ac:dyDescent="0.35">
      <c r="A21" s="11"/>
      <c r="Y21" s="67"/>
    </row>
    <row r="22" spans="1:57" x14ac:dyDescent="0.35">
      <c r="A22" s="11"/>
      <c r="B22" s="101"/>
      <c r="C22" s="102"/>
      <c r="Y22" s="67"/>
    </row>
    <row r="23" spans="1:57" x14ac:dyDescent="0.35">
      <c r="A23" s="11"/>
      <c r="B23" s="101"/>
      <c r="Y23" s="67"/>
    </row>
    <row r="24" spans="1:57" x14ac:dyDescent="0.35">
      <c r="A24" s="11"/>
      <c r="Y24" s="67"/>
    </row>
    <row r="25" spans="1:57" x14ac:dyDescent="0.35">
      <c r="A25" s="11"/>
      <c r="Y25" s="67"/>
    </row>
    <row r="26" spans="1:57" x14ac:dyDescent="0.35">
      <c r="A26" s="11"/>
      <c r="Y26" s="67"/>
    </row>
    <row r="27" spans="1:57" x14ac:dyDescent="0.35">
      <c r="A27" s="11"/>
      <c r="Y27" s="67"/>
    </row>
    <row r="28" spans="1:57" x14ac:dyDescent="0.35">
      <c r="A28" s="11"/>
    </row>
    <row r="29" spans="1:57" x14ac:dyDescent="0.35">
      <c r="A29" s="11"/>
    </row>
    <row r="30" spans="1:57" x14ac:dyDescent="0.35">
      <c r="A30" s="11"/>
    </row>
    <row r="31" spans="1:57" x14ac:dyDescent="0.35">
      <c r="A31" s="11"/>
    </row>
    <row r="32" spans="1:57" x14ac:dyDescent="0.35">
      <c r="A32" s="11"/>
    </row>
    <row r="33" spans="1:1" x14ac:dyDescent="0.35">
      <c r="A33" s="11"/>
    </row>
    <row r="34" spans="1:1" x14ac:dyDescent="0.35">
      <c r="A34" s="11"/>
    </row>
    <row r="35" spans="1:1" x14ac:dyDescent="0.35">
      <c r="A35" s="11"/>
    </row>
    <row r="36" spans="1:1" ht="15" customHeight="1" x14ac:dyDescent="0.35"/>
    <row r="37" spans="1:1" s="14" customFormat="1" ht="15" customHeight="1" x14ac:dyDescent="0.35"/>
    <row r="38" spans="1:1" s="5" customFormat="1" ht="15" customHeight="1" x14ac:dyDescent="0.35"/>
    <row r="41" spans="1:1" x14ac:dyDescent="0.35">
      <c r="A41" s="11"/>
    </row>
    <row r="42" spans="1:1" x14ac:dyDescent="0.35">
      <c r="A42" s="11"/>
    </row>
    <row r="43" spans="1:1" x14ac:dyDescent="0.35">
      <c r="A43" s="11"/>
    </row>
    <row r="44" spans="1:1" x14ac:dyDescent="0.35">
      <c r="A44" s="11"/>
    </row>
    <row r="45" spans="1:1" x14ac:dyDescent="0.35">
      <c r="A45" s="11"/>
    </row>
  </sheetData>
  <mergeCells count="54">
    <mergeCell ref="B2:C2"/>
    <mergeCell ref="AD2:AE2"/>
    <mergeCell ref="AF2:AG2"/>
    <mergeCell ref="R2:S2"/>
    <mergeCell ref="P2:Q2"/>
    <mergeCell ref="X2:Y2"/>
    <mergeCell ref="D2:E2"/>
    <mergeCell ref="AX2:AY2"/>
    <mergeCell ref="AZ2:BA2"/>
    <mergeCell ref="F2:G2"/>
    <mergeCell ref="BB2:BC2"/>
    <mergeCell ref="AB2:AC2"/>
    <mergeCell ref="V2:W2"/>
    <mergeCell ref="L2:M2"/>
    <mergeCell ref="AP2:AQ2"/>
    <mergeCell ref="AR2:AS2"/>
    <mergeCell ref="AT2:AU2"/>
    <mergeCell ref="AV2:AW2"/>
    <mergeCell ref="AL2:AM2"/>
    <mergeCell ref="AN2:AO2"/>
    <mergeCell ref="N2:O2"/>
    <mergeCell ref="Z2:AA2"/>
    <mergeCell ref="AJ2:AK2"/>
    <mergeCell ref="J2:K2"/>
    <mergeCell ref="H2:I2"/>
    <mergeCell ref="T2:U2"/>
    <mergeCell ref="AH2:AI2"/>
    <mergeCell ref="AV1:AW1"/>
    <mergeCell ref="D1:E1"/>
    <mergeCell ref="N1:O1"/>
    <mergeCell ref="Z1:AA1"/>
    <mergeCell ref="AB1:AC1"/>
    <mergeCell ref="B1:C1"/>
    <mergeCell ref="AD1:AE1"/>
    <mergeCell ref="AF1:AG1"/>
    <mergeCell ref="R1:S1"/>
    <mergeCell ref="AH1:AI1"/>
    <mergeCell ref="P1:Q1"/>
    <mergeCell ref="AX1:AY1"/>
    <mergeCell ref="AZ1:BA1"/>
    <mergeCell ref="F1:G1"/>
    <mergeCell ref="BB1:BC1"/>
    <mergeCell ref="T1:U1"/>
    <mergeCell ref="V1:W1"/>
    <mergeCell ref="L1:M1"/>
    <mergeCell ref="AP1:AQ1"/>
    <mergeCell ref="AR1:AS1"/>
    <mergeCell ref="AT1:AU1"/>
    <mergeCell ref="X1:Y1"/>
    <mergeCell ref="AJ1:AK1"/>
    <mergeCell ref="AL1:AM1"/>
    <mergeCell ref="J1:K1"/>
    <mergeCell ref="AN1:AO1"/>
    <mergeCell ref="H1:I1"/>
  </mergeCells>
  <conditionalFormatting sqref="C4:BC15">
    <cfRule type="expression" dxfId="5" priority="750" stopIfTrue="1">
      <formula>IF(A$3="Measured", IF( AND((A4/XFD4 &gt; 1), (A4/XFD4 &lt;= 1.1)),1,0), 0)</formula>
    </cfRule>
    <cfRule type="expression" dxfId="3" priority="749" stopIfTrue="1">
      <formula>IF(C$3="Measured", IF( OR((C4/B4 &gt; 1.1), FALSE),1,0), 0)</formula>
    </cfRule>
    <cfRule type="expression" dxfId="4" priority="748" stopIfTrue="1">
      <formula>IF(C$3="Measured", IF( OR((C4/B4 &lt; 1), (C4-B4)&lt;2),1,0), 0)</formula>
    </cfRule>
  </conditionalFormatting>
  <hyperlinks>
    <hyperlink ref="A2" location="HoBL!A1" display="HoBL" xr:uid="{00000000-0004-0000-0300-000000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53"/>
  <sheetViews>
    <sheetView zoomScale="96" zoomScaleNormal="96" workbookViewId="0">
      <pane xSplit="1" topLeftCell="B1" activePane="topRight" state="frozen"/>
      <selection pane="topRight" activeCell="U50" sqref="U50"/>
    </sheetView>
  </sheetViews>
  <sheetFormatPr defaultColWidth="9" defaultRowHeight="14.5" x14ac:dyDescent="0.35"/>
  <cols>
    <col min="1" max="1" width="18.54296875" customWidth="1"/>
    <col min="2" max="55" width="9.81640625" customWidth="1"/>
  </cols>
  <sheetData>
    <row r="1" spans="1:57" ht="15" customHeight="1" thickBot="1" x14ac:dyDescent="0.4">
      <c r="B1" s="212" t="s">
        <v>28</v>
      </c>
      <c r="C1" s="206"/>
      <c r="D1" s="212" t="s">
        <v>28</v>
      </c>
      <c r="E1" s="206"/>
      <c r="F1" s="212" t="s">
        <v>30</v>
      </c>
      <c r="G1" s="206"/>
      <c r="H1" s="212" t="s">
        <v>32</v>
      </c>
      <c r="I1" s="206"/>
      <c r="J1" s="212" t="s">
        <v>34</v>
      </c>
      <c r="K1" s="206"/>
      <c r="L1" s="212" t="s">
        <v>36</v>
      </c>
      <c r="M1" s="206"/>
      <c r="N1" s="212" t="s">
        <v>36</v>
      </c>
      <c r="O1" s="206"/>
      <c r="P1" s="212" t="s">
        <v>36</v>
      </c>
      <c r="Q1" s="206"/>
      <c r="R1" s="212" t="s">
        <v>36</v>
      </c>
      <c r="S1" s="206"/>
      <c r="T1" s="212" t="s">
        <v>27</v>
      </c>
      <c r="U1" s="206"/>
      <c r="V1" s="212" t="s">
        <v>27</v>
      </c>
      <c r="W1" s="206"/>
      <c r="X1" s="212" t="s">
        <v>27</v>
      </c>
      <c r="Y1" s="206"/>
      <c r="Z1" s="212" t="s">
        <v>27</v>
      </c>
      <c r="AA1" s="206"/>
      <c r="AB1" s="212" t="s">
        <v>40</v>
      </c>
      <c r="AC1" s="206"/>
      <c r="AD1" s="212" t="s">
        <v>40</v>
      </c>
      <c r="AE1" s="206"/>
      <c r="AF1" s="212" t="s">
        <v>40</v>
      </c>
      <c r="AG1" s="206"/>
      <c r="AH1" s="212" t="s">
        <v>43</v>
      </c>
      <c r="AI1" s="206"/>
      <c r="AJ1" s="212" t="s">
        <v>43</v>
      </c>
      <c r="AK1" s="206"/>
      <c r="AL1" s="212" t="s">
        <v>43</v>
      </c>
      <c r="AM1" s="206"/>
      <c r="AN1" s="212" t="s">
        <v>88</v>
      </c>
      <c r="AO1" s="206"/>
      <c r="AP1" s="212" t="s">
        <v>16</v>
      </c>
      <c r="AQ1" s="206"/>
      <c r="AR1" s="212" t="s">
        <v>16</v>
      </c>
      <c r="AS1" s="206"/>
      <c r="AT1" s="212" t="s">
        <v>16</v>
      </c>
      <c r="AU1" s="206"/>
      <c r="AV1" s="212" t="s">
        <v>16</v>
      </c>
      <c r="AW1" s="206"/>
      <c r="AX1" s="212" t="s">
        <v>16</v>
      </c>
      <c r="AY1" s="206"/>
      <c r="AZ1" s="212" t="s">
        <v>131</v>
      </c>
      <c r="BA1" s="206"/>
      <c r="BB1" s="212" t="s">
        <v>131</v>
      </c>
      <c r="BC1" s="206"/>
    </row>
    <row r="2" spans="1:57" ht="15" customHeight="1" thickBot="1" x14ac:dyDescent="0.4">
      <c r="A2" s="66" t="s">
        <v>2</v>
      </c>
      <c r="B2" s="205" t="s">
        <v>35</v>
      </c>
      <c r="C2" s="206"/>
      <c r="D2" s="205" t="s">
        <v>33</v>
      </c>
      <c r="E2" s="206"/>
      <c r="F2" s="205" t="s">
        <v>61</v>
      </c>
      <c r="G2" s="206"/>
      <c r="H2" s="205" t="s">
        <v>58</v>
      </c>
      <c r="I2" s="206"/>
      <c r="J2" s="205" t="s">
        <v>60</v>
      </c>
      <c r="K2" s="206"/>
      <c r="L2" s="205" t="s">
        <v>39</v>
      </c>
      <c r="M2" s="206"/>
      <c r="N2" s="205" t="s">
        <v>42</v>
      </c>
      <c r="O2" s="206"/>
      <c r="P2" s="205" t="s">
        <v>48</v>
      </c>
      <c r="Q2" s="206"/>
      <c r="R2" s="205" t="s">
        <v>46</v>
      </c>
      <c r="S2" s="206"/>
      <c r="T2" s="205" t="s">
        <v>26</v>
      </c>
      <c r="U2" s="206"/>
      <c r="V2" s="205" t="s">
        <v>29</v>
      </c>
      <c r="W2" s="206"/>
      <c r="X2" s="205" t="s">
        <v>31</v>
      </c>
      <c r="Y2" s="206"/>
      <c r="Z2" s="205" t="s">
        <v>69</v>
      </c>
      <c r="AA2" s="206"/>
      <c r="AB2" s="205" t="s">
        <v>63</v>
      </c>
      <c r="AC2" s="206"/>
      <c r="AD2" s="205" t="s">
        <v>65</v>
      </c>
      <c r="AE2" s="206"/>
      <c r="AF2" s="205" t="s">
        <v>67</v>
      </c>
      <c r="AG2" s="206"/>
      <c r="AH2" s="205" t="s">
        <v>80</v>
      </c>
      <c r="AI2" s="206"/>
      <c r="AJ2" s="205" t="s">
        <v>83</v>
      </c>
      <c r="AK2" s="206"/>
      <c r="AL2" s="205" t="s">
        <v>85</v>
      </c>
      <c r="AM2" s="206"/>
      <c r="AN2" s="211" t="s">
        <v>87</v>
      </c>
      <c r="AO2" s="206"/>
      <c r="AP2" s="205" t="s">
        <v>71</v>
      </c>
      <c r="AQ2" s="206"/>
      <c r="AR2" s="205" t="s">
        <v>73</v>
      </c>
      <c r="AS2" s="206"/>
      <c r="AT2" s="205" t="s">
        <v>74</v>
      </c>
      <c r="AU2" s="206"/>
      <c r="AV2" s="205" t="s">
        <v>76</v>
      </c>
      <c r="AW2" s="206"/>
      <c r="AX2" s="205" t="s">
        <v>78</v>
      </c>
      <c r="AY2" s="206"/>
      <c r="AZ2" s="205" t="s">
        <v>56</v>
      </c>
      <c r="BA2" s="206"/>
      <c r="BB2" s="205" t="s">
        <v>52</v>
      </c>
      <c r="BC2" s="206"/>
    </row>
    <row r="3" spans="1:57" ht="15" customHeight="1" thickBot="1" x14ac:dyDescent="0.4">
      <c r="A3" s="8" t="s">
        <v>115</v>
      </c>
      <c r="B3" s="90" t="s">
        <v>116</v>
      </c>
      <c r="C3" s="90" t="s">
        <v>117</v>
      </c>
      <c r="D3" s="90" t="s">
        <v>116</v>
      </c>
      <c r="E3" s="90" t="s">
        <v>117</v>
      </c>
      <c r="F3" s="90" t="s">
        <v>116</v>
      </c>
      <c r="G3" s="90" t="s">
        <v>117</v>
      </c>
      <c r="H3" s="90" t="s">
        <v>116</v>
      </c>
      <c r="I3" s="90" t="s">
        <v>117</v>
      </c>
      <c r="J3" s="90" t="s">
        <v>116</v>
      </c>
      <c r="K3" s="90" t="s">
        <v>117</v>
      </c>
      <c r="L3" s="90" t="s">
        <v>116</v>
      </c>
      <c r="M3" s="90" t="s">
        <v>117</v>
      </c>
      <c r="N3" s="90" t="s">
        <v>116</v>
      </c>
      <c r="O3" s="90" t="s">
        <v>117</v>
      </c>
      <c r="P3" s="90" t="s">
        <v>116</v>
      </c>
      <c r="Q3" s="90" t="s">
        <v>117</v>
      </c>
      <c r="R3" s="90" t="s">
        <v>116</v>
      </c>
      <c r="S3" s="90" t="s">
        <v>117</v>
      </c>
      <c r="T3" s="90" t="s">
        <v>116</v>
      </c>
      <c r="U3" s="90" t="s">
        <v>117</v>
      </c>
      <c r="V3" s="90" t="s">
        <v>116</v>
      </c>
      <c r="W3" s="90" t="s">
        <v>117</v>
      </c>
      <c r="X3" s="90" t="s">
        <v>116</v>
      </c>
      <c r="Y3" s="90" t="s">
        <v>117</v>
      </c>
      <c r="Z3" s="90" t="s">
        <v>116</v>
      </c>
      <c r="AA3" s="90" t="s">
        <v>117</v>
      </c>
      <c r="AB3" s="90" t="s">
        <v>116</v>
      </c>
      <c r="AC3" s="90" t="s">
        <v>117</v>
      </c>
      <c r="AD3" s="90" t="s">
        <v>116</v>
      </c>
      <c r="AE3" s="90" t="s">
        <v>117</v>
      </c>
      <c r="AF3" s="90" t="s">
        <v>116</v>
      </c>
      <c r="AG3" s="90" t="s">
        <v>117</v>
      </c>
      <c r="AH3" s="90" t="s">
        <v>116</v>
      </c>
      <c r="AI3" s="90" t="s">
        <v>117</v>
      </c>
      <c r="AJ3" s="90" t="s">
        <v>116</v>
      </c>
      <c r="AK3" s="90" t="s">
        <v>117</v>
      </c>
      <c r="AL3" s="90" t="s">
        <v>116</v>
      </c>
      <c r="AM3" s="90" t="s">
        <v>117</v>
      </c>
      <c r="AN3" s="90" t="s">
        <v>116</v>
      </c>
      <c r="AO3" s="90" t="s">
        <v>117</v>
      </c>
      <c r="AP3" s="90" t="s">
        <v>116</v>
      </c>
      <c r="AQ3" s="90" t="s">
        <v>117</v>
      </c>
      <c r="AR3" s="90" t="s">
        <v>116</v>
      </c>
      <c r="AS3" s="90" t="s">
        <v>117</v>
      </c>
      <c r="AT3" s="90" t="s">
        <v>116</v>
      </c>
      <c r="AU3" s="90" t="s">
        <v>117</v>
      </c>
      <c r="AV3" s="90" t="s">
        <v>116</v>
      </c>
      <c r="AW3" s="90" t="s">
        <v>117</v>
      </c>
      <c r="AX3" s="90" t="s">
        <v>116</v>
      </c>
      <c r="AY3" s="90" t="s">
        <v>117</v>
      </c>
      <c r="AZ3" s="90" t="s">
        <v>116</v>
      </c>
      <c r="BA3" s="90" t="s">
        <v>117</v>
      </c>
      <c r="BB3" s="90" t="s">
        <v>116</v>
      </c>
      <c r="BC3" s="110" t="s">
        <v>117</v>
      </c>
    </row>
    <row r="4" spans="1:57" ht="15" customHeight="1" thickBot="1" x14ac:dyDescent="0.4">
      <c r="A4" s="6" t="s">
        <v>118</v>
      </c>
      <c r="B4" s="103">
        <v>525</v>
      </c>
      <c r="C4" s="91" t="str">
        <f>IFERROR(HLOOKUP(B$2,'Power Summary'!$B$1:$BS$24,MATCH($A4,'Power Summary'!$A:$A,0), FALSE), "")</f>
        <v/>
      </c>
      <c r="D4" s="107">
        <v>465.5</v>
      </c>
      <c r="E4" s="92" t="str">
        <f>IFERROR(HLOOKUP(D$2,'Power Summary'!$B$1:$BS$24,MATCH($A4,'Power Summary'!$A:$A,0), FALSE), "")</f>
        <v/>
      </c>
      <c r="F4" s="103">
        <v>590</v>
      </c>
      <c r="G4" s="91" t="str">
        <f>IFERROR(HLOOKUP(F$2,'Power Summary'!$B$1:$BS$24,MATCH($A4,'Power Summary'!$A:$A,0), FALSE), "")</f>
        <v/>
      </c>
      <c r="H4" s="107">
        <v>965</v>
      </c>
      <c r="I4" s="92" t="str">
        <f>IFERROR(HLOOKUP(H$2,'Power Summary'!$B$1:$BS$24,MATCH($A4,'Power Summary'!$A:$A,0), FALSE), "")</f>
        <v/>
      </c>
      <c r="J4" s="103">
        <v>1400</v>
      </c>
      <c r="K4" s="91" t="str">
        <f>IFERROR(HLOOKUP(J$2,'Power Summary'!$B$1:$BS$24,MATCH($A4,'Power Summary'!$A:$A,0), FALSE), "")</f>
        <v/>
      </c>
      <c r="L4" s="107">
        <v>310</v>
      </c>
      <c r="M4" s="92" t="str">
        <f>IFERROR(HLOOKUP(L$2,'Power Summary'!$B$1:$BS$24,MATCH($A4,'Power Summary'!$A:$A,0), FALSE), "")</f>
        <v/>
      </c>
      <c r="N4" s="103">
        <v>175</v>
      </c>
      <c r="O4" s="91" t="str">
        <f>IFERROR(HLOOKUP(N$2,'Power Summary'!$B$1:$BS$24,MATCH($A4,'Power Summary'!$A:$A,0), FALSE), "")</f>
        <v/>
      </c>
      <c r="P4" s="107">
        <v>300</v>
      </c>
      <c r="Q4" s="92" t="str">
        <f>IFERROR(HLOOKUP(P$2,'Power Summary'!$B$1:$BS$24,MATCH($A4,'Power Summary'!$A:$A,0), FALSE), "")</f>
        <v/>
      </c>
      <c r="R4" s="103">
        <v>160</v>
      </c>
      <c r="S4" s="91" t="str">
        <f>IFERROR(HLOOKUP(R$2,'Power Summary'!$B$1:$BS$24,MATCH($A4,'Power Summary'!$A:$A,0), FALSE), "")</f>
        <v/>
      </c>
      <c r="T4" s="107">
        <v>350</v>
      </c>
      <c r="U4" s="92" t="str">
        <f>IFERROR(HLOOKUP(T$2,'Power Summary'!$B$1:$BS$24,MATCH($A4,'Power Summary'!$A:$A,0), FALSE), "")</f>
        <v/>
      </c>
      <c r="V4" s="103">
        <v>360</v>
      </c>
      <c r="W4" s="91" t="str">
        <f>IFERROR(HLOOKUP(V$2,'Power Summary'!$B$1:$BS$24,MATCH($A4,'Power Summary'!$A:$A,0), FALSE), "")</f>
        <v/>
      </c>
      <c r="X4" s="107">
        <v>340</v>
      </c>
      <c r="Y4" s="92" t="str">
        <f>IFERROR(HLOOKUP(X$2,'Power Summary'!$B$1:$BS$24,MATCH($A4,'Power Summary'!$A:$A,0), FALSE), "")</f>
        <v/>
      </c>
      <c r="Z4" s="103">
        <v>545</v>
      </c>
      <c r="AA4" s="91" t="str">
        <f>IFERROR(HLOOKUP(Z$2,'Power Summary'!$B$1:$BS$24,MATCH($A4,'Power Summary'!$A:$A,0), FALSE), "")</f>
        <v/>
      </c>
      <c r="AB4" s="107">
        <v>310</v>
      </c>
      <c r="AC4" s="92" t="str">
        <f>IFERROR(HLOOKUP(AB$2,'Power Summary'!$B$1:$BS$24,MATCH($A4,'Power Summary'!$A:$A,0), FALSE), "")</f>
        <v/>
      </c>
      <c r="AD4" s="103">
        <v>430</v>
      </c>
      <c r="AE4" s="91" t="str">
        <f>IFERROR(HLOOKUP(AD$2,'Power Summary'!$B$1:$BS$24,MATCH($A4,'Power Summary'!$A:$A,0), FALSE), "")</f>
        <v/>
      </c>
      <c r="AF4" s="107">
        <v>560</v>
      </c>
      <c r="AG4" s="92" t="str">
        <f>IFERROR(HLOOKUP(AF$2,'Power Summary'!$B$1:$BS$24,MATCH($A4,'Power Summary'!$A:$A,0), FALSE), "")</f>
        <v/>
      </c>
      <c r="AH4" s="103">
        <v>110</v>
      </c>
      <c r="AI4" s="91" t="str">
        <f>IFERROR(HLOOKUP(AH$2,'Power Summary'!$B$1:$BS$24,MATCH($A4,'Power Summary'!$A:$A,0), FALSE), "")</f>
        <v/>
      </c>
      <c r="AJ4" s="107">
        <v>45</v>
      </c>
      <c r="AK4" s="92" t="str">
        <f>IFERROR(HLOOKUP(AJ$2,'Power Summary'!$B$1:$BS$24,MATCH($A4,'Power Summary'!$A:$A,0), FALSE), "")</f>
        <v/>
      </c>
      <c r="AL4" s="103">
        <v>110</v>
      </c>
      <c r="AM4" s="91" t="str">
        <f>IFERROR(HLOOKUP(AL$2,'Power Summary'!$B$1:$BS$24,MATCH($A4,'Power Summary'!$A:$A,0), FALSE), "")</f>
        <v/>
      </c>
      <c r="AN4" s="107">
        <v>475</v>
      </c>
      <c r="AO4" s="92" t="str">
        <f>IFERROR(HLOOKUP(AN$2,'Power Summary'!$B$1:$BS$24,MATCH($A4,'Power Summary'!$A:$A,0), FALSE), "")</f>
        <v/>
      </c>
      <c r="AP4" s="103">
        <v>21.3</v>
      </c>
      <c r="AQ4" s="91" t="str">
        <f>IFERROR(HLOOKUP(AP$2,'Power Summary'!$B$1:$BS$24,MATCH($A4,'Power Summary'!$A:$A,0), FALSE), "")</f>
        <v/>
      </c>
      <c r="AR4" s="107">
        <v>17</v>
      </c>
      <c r="AS4" s="92" t="str">
        <f>IFERROR(HLOOKUP(AR$2,'Power Summary'!$B$1:$BS$24,MATCH($A4,'Power Summary'!$A:$A,0), FALSE), "")</f>
        <v/>
      </c>
      <c r="AT4" s="103">
        <v>20</v>
      </c>
      <c r="AU4" s="91" t="str">
        <f>IFERROR(HLOOKUP(AT$2,'Power Summary'!$B$1:$BS$24,MATCH($A4,'Power Summary'!$A:$A,0), FALSE), "")</f>
        <v/>
      </c>
      <c r="AV4" s="107">
        <v>25</v>
      </c>
      <c r="AW4" s="92" t="str">
        <f>IFERROR(HLOOKUP(AV$2,'Power Summary'!$B$1:$BS$24,MATCH($A4,'Power Summary'!$A:$A,0), FALSE), "")</f>
        <v/>
      </c>
      <c r="AX4" s="103">
        <v>13</v>
      </c>
      <c r="AY4" s="91" t="str">
        <f>IFERROR(HLOOKUP(AX$2,'Power Summary'!$B$1:$BS$24,MATCH($A4,'Power Summary'!$A:$A,0), FALSE), "")</f>
        <v/>
      </c>
      <c r="AZ4" s="107">
        <v>900</v>
      </c>
      <c r="BA4" s="92" t="str">
        <f>IFERROR(HLOOKUP(AZ$2,'Power Summary'!$B$1:$BS$24,MATCH($A4,'Power Summary'!$A:$A,0), FALSE), "")</f>
        <v/>
      </c>
      <c r="BB4" s="103">
        <v>1500</v>
      </c>
      <c r="BC4" s="111" t="str">
        <f>IFERROR(HLOOKUP(BB$2,'Power Summary'!$B$1:$BS$24,MATCH($A4,'Power Summary'!$A:$A,0), FALSE), "")</f>
        <v/>
      </c>
      <c r="BD4" s="115"/>
      <c r="BE4" s="116"/>
    </row>
    <row r="5" spans="1:57" ht="15" customHeight="1" thickBot="1" x14ac:dyDescent="0.4">
      <c r="A5" s="7" t="s">
        <v>119</v>
      </c>
      <c r="B5" s="104">
        <v>67</v>
      </c>
      <c r="C5" s="91" t="str">
        <f>IFERROR(HLOOKUP(B$2,'Power Summary'!$B$1:$BS$24,MATCH($A5,'Power Summary'!$A:$A,0), FALSE), "")</f>
        <v/>
      </c>
      <c r="D5" s="107">
        <v>66</v>
      </c>
      <c r="E5" s="92" t="str">
        <f>IFERROR(HLOOKUP(D$2,'Power Summary'!$B$1:$BS$24,MATCH($A5,'Power Summary'!$A:$A,0), FALSE), "")</f>
        <v/>
      </c>
      <c r="F5" s="104">
        <v>59</v>
      </c>
      <c r="G5" s="91" t="str">
        <f>IFERROR(HLOOKUP(F$2,'Power Summary'!$B$1:$BS$24,MATCH($A5,'Power Summary'!$A:$A,0), FALSE), "")</f>
        <v/>
      </c>
      <c r="H5" s="107">
        <v>280</v>
      </c>
      <c r="I5" s="92" t="str">
        <f>IFERROR(HLOOKUP(H$2,'Power Summary'!$B$1:$BS$24,MATCH($A5,'Power Summary'!$A:$A,0), FALSE), "")</f>
        <v/>
      </c>
      <c r="J5" s="104">
        <v>320</v>
      </c>
      <c r="K5" s="91" t="str">
        <f>IFERROR(HLOOKUP(J$2,'Power Summary'!$B$1:$BS$24,MATCH($A5,'Power Summary'!$A:$A,0), FALSE), "")</f>
        <v/>
      </c>
      <c r="L5" s="107">
        <v>42</v>
      </c>
      <c r="M5" s="92" t="str">
        <f>IFERROR(HLOOKUP(L$2,'Power Summary'!$B$1:$BS$24,MATCH($A5,'Power Summary'!$A:$A,0), FALSE), "")</f>
        <v/>
      </c>
      <c r="N5" s="104">
        <v>25</v>
      </c>
      <c r="O5" s="91" t="str">
        <f>IFERROR(HLOOKUP(N$2,'Power Summary'!$B$1:$BS$24,MATCH($A5,'Power Summary'!$A:$A,0), FALSE), "")</f>
        <v/>
      </c>
      <c r="P5" s="107">
        <v>42</v>
      </c>
      <c r="Q5" s="92" t="str">
        <f>IFERROR(HLOOKUP(P$2,'Power Summary'!$B$1:$BS$24,MATCH($A5,'Power Summary'!$A:$A,0), FALSE), "")</f>
        <v/>
      </c>
      <c r="R5" s="104">
        <v>23</v>
      </c>
      <c r="S5" s="91" t="str">
        <f>IFERROR(HLOOKUP(R$2,'Power Summary'!$B$1:$BS$24,MATCH($A5,'Power Summary'!$A:$A,0), FALSE), "")</f>
        <v/>
      </c>
      <c r="T5" s="107">
        <v>31</v>
      </c>
      <c r="U5" s="92" t="str">
        <f>IFERROR(HLOOKUP(T$2,'Power Summary'!$B$1:$BS$24,MATCH($A5,'Power Summary'!$A:$A,0), FALSE), "")</f>
        <v/>
      </c>
      <c r="V5" s="104">
        <v>49</v>
      </c>
      <c r="W5" s="91" t="str">
        <f>IFERROR(HLOOKUP(V$2,'Power Summary'!$B$1:$BS$24,MATCH($A5,'Power Summary'!$A:$A,0), FALSE), "")</f>
        <v/>
      </c>
      <c r="X5" s="107">
        <v>52</v>
      </c>
      <c r="Y5" s="92" t="str">
        <f>IFERROR(HLOOKUP(X$2,'Power Summary'!$B$1:$BS$24,MATCH($A5,'Power Summary'!$A:$A,0), FALSE), "")</f>
        <v/>
      </c>
      <c r="Z5" s="104">
        <v>58</v>
      </c>
      <c r="AA5" s="91" t="str">
        <f>IFERROR(HLOOKUP(Z$2,'Power Summary'!$B$1:$BS$24,MATCH($A5,'Power Summary'!$A:$A,0), FALSE), "")</f>
        <v/>
      </c>
      <c r="AB5" s="107">
        <v>76</v>
      </c>
      <c r="AC5" s="92" t="str">
        <f>IFERROR(HLOOKUP(AB$2,'Power Summary'!$B$1:$BS$24,MATCH($A5,'Power Summary'!$A:$A,0), FALSE), "")</f>
        <v/>
      </c>
      <c r="AD5" s="104">
        <v>48</v>
      </c>
      <c r="AE5" s="91" t="str">
        <f>IFERROR(HLOOKUP(AD$2,'Power Summary'!$B$1:$BS$24,MATCH($A5,'Power Summary'!$A:$A,0), FALSE), "")</f>
        <v/>
      </c>
      <c r="AF5" s="107">
        <v>75</v>
      </c>
      <c r="AG5" s="92" t="str">
        <f>IFERROR(HLOOKUP(AF$2,'Power Summary'!$B$1:$BS$24,MATCH($A5,'Power Summary'!$A:$A,0), FALSE), "")</f>
        <v/>
      </c>
      <c r="AH5" s="104">
        <v>18</v>
      </c>
      <c r="AI5" s="91" t="str">
        <f>IFERROR(HLOOKUP(AH$2,'Power Summary'!$B$1:$BS$24,MATCH($A5,'Power Summary'!$A:$A,0), FALSE), "")</f>
        <v/>
      </c>
      <c r="AJ5" s="107">
        <v>18</v>
      </c>
      <c r="AK5" s="92" t="str">
        <f>IFERROR(HLOOKUP(AJ$2,'Power Summary'!$B$1:$BS$24,MATCH($A5,'Power Summary'!$A:$A,0), FALSE), "")</f>
        <v/>
      </c>
      <c r="AL5" s="104">
        <v>22</v>
      </c>
      <c r="AM5" s="91" t="str">
        <f>IFERROR(HLOOKUP(AL$2,'Power Summary'!$B$1:$BS$24,MATCH($A5,'Power Summary'!$A:$A,0), FALSE), "")</f>
        <v/>
      </c>
      <c r="AN5" s="107">
        <v>58</v>
      </c>
      <c r="AO5" s="92" t="str">
        <f>IFERROR(HLOOKUP(AN$2,'Power Summary'!$B$1:$BS$24,MATCH($A5,'Power Summary'!$A:$A,0), FALSE), "")</f>
        <v/>
      </c>
      <c r="AP5" s="104">
        <v>10</v>
      </c>
      <c r="AQ5" s="91" t="str">
        <f>IFERROR(HLOOKUP(AP$2,'Power Summary'!$B$1:$BS$24,MATCH($A5,'Power Summary'!$A:$A,0), FALSE), "")</f>
        <v/>
      </c>
      <c r="AR5" s="107">
        <v>9</v>
      </c>
      <c r="AS5" s="92" t="str">
        <f>IFERROR(HLOOKUP(AR$2,'Power Summary'!$B$1:$BS$24,MATCH($A5,'Power Summary'!$A:$A,0), FALSE), "")</f>
        <v/>
      </c>
      <c r="AT5" s="104">
        <v>8</v>
      </c>
      <c r="AU5" s="91" t="str">
        <f>IFERROR(HLOOKUP(AT$2,'Power Summary'!$B$1:$BS$24,MATCH($A5,'Power Summary'!$A:$A,0), FALSE), "")</f>
        <v/>
      </c>
      <c r="AV5" s="107">
        <v>10</v>
      </c>
      <c r="AW5" s="92" t="str">
        <f>IFERROR(HLOOKUP(AV$2,'Power Summary'!$B$1:$BS$24,MATCH($A5,'Power Summary'!$A:$A,0), FALSE), "")</f>
        <v/>
      </c>
      <c r="AX5" s="104">
        <v>8</v>
      </c>
      <c r="AY5" s="91" t="str">
        <f>IFERROR(HLOOKUP(AX$2,'Power Summary'!$B$1:$BS$24,MATCH($A5,'Power Summary'!$A:$A,0), FALSE), "")</f>
        <v/>
      </c>
      <c r="AZ5" s="107">
        <v>250</v>
      </c>
      <c r="BA5" s="92" t="str">
        <f>IFERROR(HLOOKUP(AZ$2,'Power Summary'!$B$1:$BS$24,MATCH($A5,'Power Summary'!$A:$A,0), FALSE), "")</f>
        <v/>
      </c>
      <c r="BB5" s="104">
        <v>250</v>
      </c>
      <c r="BC5" s="111" t="str">
        <f>IFERROR(HLOOKUP(BB$2,'Power Summary'!$B$1:$BS$24,MATCH($A5,'Power Summary'!$A:$A,0), FALSE), "")</f>
        <v/>
      </c>
      <c r="BD5" s="115"/>
      <c r="BE5" s="116"/>
    </row>
    <row r="6" spans="1:57" ht="15" customHeight="1" thickBot="1" x14ac:dyDescent="0.4">
      <c r="A6" s="7" t="s">
        <v>120</v>
      </c>
      <c r="B6" s="104">
        <v>1150.882352941177</v>
      </c>
      <c r="C6" s="91" t="str">
        <f>IFERROR(HLOOKUP(B$2,'Power Summary'!$B$1:$BS$24,MATCH($A6,'Power Summary'!$A:$A,0), FALSE), "")</f>
        <v/>
      </c>
      <c r="D6" s="107">
        <v>480.29411764705878</v>
      </c>
      <c r="E6" s="92" t="str">
        <f>IFERROR(HLOOKUP(D$2,'Power Summary'!$B$1:$BS$24,MATCH($A6,'Power Summary'!$A:$A,0), FALSE), "")</f>
        <v/>
      </c>
      <c r="F6" s="104">
        <v>1310.655412488509</v>
      </c>
      <c r="G6" s="91" t="str">
        <f>IFERROR(HLOOKUP(F$2,'Power Summary'!$B$1:$BS$24,MATCH($A6,'Power Summary'!$A:$A,0), FALSE), "")</f>
        <v/>
      </c>
      <c r="H6" s="107">
        <v>397.41176470588232</v>
      </c>
      <c r="I6" s="92" t="str">
        <f>IFERROR(HLOOKUP(H$2,'Power Summary'!$B$1:$BS$24,MATCH($A6,'Power Summary'!$A:$A,0), FALSE), "")</f>
        <v/>
      </c>
      <c r="J6" s="104">
        <v>443.155027675665</v>
      </c>
      <c r="K6" s="91" t="str">
        <f>IFERROR(HLOOKUP(J$2,'Power Summary'!$B$1:$BS$24,MATCH($A6,'Power Summary'!$A:$A,0), FALSE), "")</f>
        <v/>
      </c>
      <c r="L6" s="107">
        <v>265.88235294117652</v>
      </c>
      <c r="M6" s="92" t="str">
        <f>IFERROR(HLOOKUP(L$2,'Power Summary'!$B$1:$BS$24,MATCH($A6,'Power Summary'!$A:$A,0), FALSE), "")</f>
        <v/>
      </c>
      <c r="N6" s="104">
        <v>5.5076786270063582</v>
      </c>
      <c r="O6" s="91" t="str">
        <f>IFERROR(HLOOKUP(N$2,'Power Summary'!$B$1:$BS$24,MATCH($A6,'Power Summary'!$A:$A,0), FALSE), "")</f>
        <v/>
      </c>
      <c r="P6" s="107">
        <v>297.88235294117652</v>
      </c>
      <c r="Q6" s="92" t="str">
        <f>IFERROR(HLOOKUP(P$2,'Power Summary'!$B$1:$BS$24,MATCH($A6,'Power Summary'!$A:$A,0), FALSE), "")</f>
        <v/>
      </c>
      <c r="R6" s="104">
        <v>5.5076786270063582</v>
      </c>
      <c r="S6" s="91" t="str">
        <f>IFERROR(HLOOKUP(R$2,'Power Summary'!$B$1:$BS$24,MATCH($A6,'Power Summary'!$A:$A,0), FALSE), "")</f>
        <v/>
      </c>
      <c r="T6" s="107">
        <v>624.41176470588232</v>
      </c>
      <c r="U6" s="92" t="str">
        <f>IFERROR(HLOOKUP(T$2,'Power Summary'!$B$1:$BS$24,MATCH($A6,'Power Summary'!$A:$A,0), FALSE), "")</f>
        <v/>
      </c>
      <c r="V6" s="104">
        <v>394.41176470588232</v>
      </c>
      <c r="W6" s="91" t="str">
        <f>IFERROR(HLOOKUP(V$2,'Power Summary'!$B$1:$BS$24,MATCH($A6,'Power Summary'!$A:$A,0), FALSE), "")</f>
        <v/>
      </c>
      <c r="X6" s="107">
        <v>822.58823529411768</v>
      </c>
      <c r="Y6" s="92" t="str">
        <f>IFERROR(HLOOKUP(X$2,'Power Summary'!$B$1:$BS$24,MATCH($A6,'Power Summary'!$A:$A,0), FALSE), "")</f>
        <v/>
      </c>
      <c r="Z6" s="104">
        <v>770.58823529411768</v>
      </c>
      <c r="AA6" s="91" t="str">
        <f>IFERROR(HLOOKUP(Z$2,'Power Summary'!$B$1:$BS$24,MATCH($A6,'Power Summary'!$A:$A,0), FALSE), "")</f>
        <v/>
      </c>
      <c r="AB6" s="107">
        <v>0.20117647058823529</v>
      </c>
      <c r="AC6" s="92" t="str">
        <f>IFERROR(HLOOKUP(AB$2,'Power Summary'!$B$1:$BS$24,MATCH($A6,'Power Summary'!$A:$A,0), FALSE), "")</f>
        <v/>
      </c>
      <c r="AD6" s="104">
        <v>309.41176470588232</v>
      </c>
      <c r="AE6" s="91" t="str">
        <f>IFERROR(HLOOKUP(AD$2,'Power Summary'!$B$1:$BS$24,MATCH($A6,'Power Summary'!$A:$A,0), FALSE), "")</f>
        <v/>
      </c>
      <c r="AF6" s="107">
        <v>729.88235294117646</v>
      </c>
      <c r="AG6" s="92" t="str">
        <f>IFERROR(HLOOKUP(AF$2,'Power Summary'!$B$1:$BS$24,MATCH($A6,'Power Summary'!$A:$A,0), FALSE), "")</f>
        <v/>
      </c>
      <c r="AH6" s="104">
        <v>798.52941176470586</v>
      </c>
      <c r="AI6" s="91" t="str">
        <f>IFERROR(HLOOKUP(AH$2,'Power Summary'!$B$1:$BS$24,MATCH($A6,'Power Summary'!$A:$A,0), FALSE), "")</f>
        <v/>
      </c>
      <c r="AJ6" s="107">
        <v>798.52941176470586</v>
      </c>
      <c r="AK6" s="92" t="str">
        <f>IFERROR(HLOOKUP(AJ$2,'Power Summary'!$B$1:$BS$24,MATCH($A6,'Power Summary'!$A:$A,0), FALSE), "")</f>
        <v/>
      </c>
      <c r="AL6" s="104">
        <v>401.70977050566188</v>
      </c>
      <c r="AM6" s="91" t="str">
        <f>IFERROR(HLOOKUP(AL$2,'Power Summary'!$B$1:$BS$24,MATCH($A6,'Power Summary'!$A:$A,0), FALSE), "")</f>
        <v/>
      </c>
      <c r="AN6" s="107">
        <v>825.88235294117646</v>
      </c>
      <c r="AO6" s="92" t="str">
        <f>IFERROR(HLOOKUP(AN$2,'Power Summary'!$B$1:$BS$24,MATCH($A6,'Power Summary'!$A:$A,0), FALSE), "")</f>
        <v/>
      </c>
      <c r="AP6" s="104">
        <v>5.5076786270063582</v>
      </c>
      <c r="AQ6" s="91" t="str">
        <f>IFERROR(HLOOKUP(AP$2,'Power Summary'!$B$1:$BS$24,MATCH($A6,'Power Summary'!$A:$A,0), FALSE), "")</f>
        <v/>
      </c>
      <c r="AR6" s="107">
        <v>5.5076786270063582</v>
      </c>
      <c r="AS6" s="92" t="str">
        <f>IFERROR(HLOOKUP(AR$2,'Power Summary'!$B$1:$BS$24,MATCH($A6,'Power Summary'!$A:$A,0), FALSE), "")</f>
        <v/>
      </c>
      <c r="AT6" s="104">
        <v>5.5076786270063582</v>
      </c>
      <c r="AU6" s="91" t="str">
        <f>IFERROR(HLOOKUP(AT$2,'Power Summary'!$B$1:$BS$24,MATCH($A6,'Power Summary'!$A:$A,0), FALSE), "")</f>
        <v/>
      </c>
      <c r="AV6" s="107">
        <v>5.5076786270063582</v>
      </c>
      <c r="AW6" s="92" t="str">
        <f>IFERROR(HLOOKUP(AV$2,'Power Summary'!$B$1:$BS$24,MATCH($A6,'Power Summary'!$A:$A,0), FALSE), "")</f>
        <v/>
      </c>
      <c r="AX6" s="104">
        <v>5.5076786270063582</v>
      </c>
      <c r="AY6" s="91" t="str">
        <f>IFERROR(HLOOKUP(AX$2,'Power Summary'!$B$1:$BS$24,MATCH($A6,'Power Summary'!$A:$A,0), FALSE), "")</f>
        <v/>
      </c>
      <c r="AZ6" s="107">
        <v>700</v>
      </c>
      <c r="BA6" s="92" t="str">
        <f>IFERROR(HLOOKUP(AZ$2,'Power Summary'!$B$1:$BS$24,MATCH($A6,'Power Summary'!$A:$A,0), FALSE), "")</f>
        <v/>
      </c>
      <c r="BB6" s="104">
        <v>700</v>
      </c>
      <c r="BC6" s="111" t="str">
        <f>IFERROR(HLOOKUP(BB$2,'Power Summary'!$B$1:$BS$24,MATCH($A6,'Power Summary'!$A:$A,0), FALSE), "")</f>
        <v/>
      </c>
      <c r="BD6" s="115"/>
      <c r="BE6" s="116"/>
    </row>
    <row r="7" spans="1:57" ht="15" customHeight="1" thickBot="1" x14ac:dyDescent="0.4">
      <c r="A7" s="7" t="s">
        <v>121</v>
      </c>
      <c r="B7" s="104">
        <v>35.29529411764706</v>
      </c>
      <c r="C7" s="91" t="str">
        <f>IFERROR(HLOOKUP(B$2,'Power Summary'!$B$1:$BS$24,MATCH($A7,'Power Summary'!$A:$A,0), FALSE), "")</f>
        <v/>
      </c>
      <c r="D7" s="107">
        <v>11.76588235294118</v>
      </c>
      <c r="E7" s="92" t="str">
        <f>IFERROR(HLOOKUP(D$2,'Power Summary'!$B$1:$BS$24,MATCH($A7,'Power Summary'!$A:$A,0), FALSE), "")</f>
        <v/>
      </c>
      <c r="F7" s="104">
        <v>23.530588235294118</v>
      </c>
      <c r="G7" s="91" t="str">
        <f>IFERROR(HLOOKUP(F$2,'Power Summary'!$B$1:$BS$24,MATCH($A7,'Power Summary'!$A:$A,0), FALSE), "")</f>
        <v/>
      </c>
      <c r="H7" s="107">
        <v>94.11882352941177</v>
      </c>
      <c r="I7" s="92" t="str">
        <f>IFERROR(HLOOKUP(H$2,'Power Summary'!$B$1:$BS$24,MATCH($A7,'Power Summary'!$A:$A,0), FALSE), "")</f>
        <v/>
      </c>
      <c r="J7" s="104">
        <v>94.11882352941177</v>
      </c>
      <c r="K7" s="91" t="str">
        <f>IFERROR(HLOOKUP(J$2,'Power Summary'!$B$1:$BS$24,MATCH($A7,'Power Summary'!$A:$A,0), FALSE), "")</f>
        <v/>
      </c>
      <c r="L7" s="107">
        <v>94.11882352941177</v>
      </c>
      <c r="M7" s="92" t="str">
        <f>IFERROR(HLOOKUP(L$2,'Power Summary'!$B$1:$BS$24,MATCH($A7,'Power Summary'!$A:$A,0), FALSE), "")</f>
        <v/>
      </c>
      <c r="N7" s="104">
        <v>270.58941176470591</v>
      </c>
      <c r="O7" s="91" t="str">
        <f>IFERROR(HLOOKUP(N$2,'Power Summary'!$B$1:$BS$24,MATCH($A7,'Power Summary'!$A:$A,0), FALSE), "")</f>
        <v/>
      </c>
      <c r="P7" s="107">
        <v>317.64823529411763</v>
      </c>
      <c r="Q7" s="92" t="str">
        <f>IFERROR(HLOOKUP(P$2,'Power Summary'!$B$1:$BS$24,MATCH($A7,'Power Summary'!$A:$A,0), FALSE), "")</f>
        <v/>
      </c>
      <c r="R7" s="104">
        <v>705.8835294117647</v>
      </c>
      <c r="S7" s="91" t="str">
        <f>IFERROR(HLOOKUP(R$2,'Power Summary'!$B$1:$BS$24,MATCH($A7,'Power Summary'!$A:$A,0), FALSE), "")</f>
        <v/>
      </c>
      <c r="T7" s="107">
        <v>23.530588235294118</v>
      </c>
      <c r="U7" s="92" t="str">
        <f>IFERROR(HLOOKUP(T$2,'Power Summary'!$B$1:$BS$24,MATCH($A7,'Power Summary'!$A:$A,0), FALSE), "")</f>
        <v/>
      </c>
      <c r="V7" s="104">
        <v>4.7070588235294117</v>
      </c>
      <c r="W7" s="91" t="str">
        <f>IFERROR(HLOOKUP(V$2,'Power Summary'!$B$1:$BS$24,MATCH($A7,'Power Summary'!$A:$A,0), FALSE), "")</f>
        <v/>
      </c>
      <c r="X7" s="107">
        <v>4.7070588235294117</v>
      </c>
      <c r="Y7" s="92" t="str">
        <f>IFERROR(HLOOKUP(X$2,'Power Summary'!$B$1:$BS$24,MATCH($A7,'Power Summary'!$A:$A,0), FALSE), "")</f>
        <v/>
      </c>
      <c r="Z7" s="104">
        <v>35.29529411764706</v>
      </c>
      <c r="AA7" s="91" t="str">
        <f>IFERROR(HLOOKUP(Z$2,'Power Summary'!$B$1:$BS$24,MATCH($A7,'Power Summary'!$A:$A,0), FALSE), "")</f>
        <v/>
      </c>
      <c r="AB7" s="107">
        <v>17.648235294117651</v>
      </c>
      <c r="AC7" s="92" t="str">
        <f>IFERROR(HLOOKUP(AB$2,'Power Summary'!$B$1:$BS$24,MATCH($A7,'Power Summary'!$A:$A,0), FALSE), "")</f>
        <v/>
      </c>
      <c r="AD7" s="104">
        <v>58.824705882352937</v>
      </c>
      <c r="AE7" s="91" t="str">
        <f>IFERROR(HLOOKUP(AD$2,'Power Summary'!$B$1:$BS$24,MATCH($A7,'Power Summary'!$A:$A,0), FALSE), "")</f>
        <v/>
      </c>
      <c r="AF7" s="107">
        <v>18.824705882352941</v>
      </c>
      <c r="AG7" s="92" t="str">
        <f>IFERROR(HLOOKUP(AF$2,'Power Summary'!$B$1:$BS$24,MATCH($A7,'Power Summary'!$A:$A,0), FALSE), "")</f>
        <v/>
      </c>
      <c r="AH7" s="104">
        <v>2.352941176470588E-3</v>
      </c>
      <c r="AI7" s="91" t="str">
        <f>IFERROR(HLOOKUP(AH$2,'Power Summary'!$B$1:$BS$24,MATCH($A7,'Power Summary'!$A:$A,0), FALSE), "")</f>
        <v/>
      </c>
      <c r="AJ7" s="107">
        <v>2.352941176470588E-3</v>
      </c>
      <c r="AK7" s="92" t="str">
        <f>IFERROR(HLOOKUP(AJ$2,'Power Summary'!$B$1:$BS$24,MATCH($A7,'Power Summary'!$A:$A,0), FALSE), "")</f>
        <v/>
      </c>
      <c r="AL7" s="104">
        <v>2.352941176470588E-3</v>
      </c>
      <c r="AM7" s="91" t="str">
        <f>IFERROR(HLOOKUP(AL$2,'Power Summary'!$B$1:$BS$24,MATCH($A7,'Power Summary'!$A:$A,0), FALSE), "")</f>
        <v/>
      </c>
      <c r="AN7" s="107">
        <v>23.530588235294118</v>
      </c>
      <c r="AO7" s="92" t="str">
        <f>IFERROR(HLOOKUP(AN$2,'Power Summary'!$B$1:$BS$24,MATCH($A7,'Power Summary'!$A:$A,0), FALSE), "")</f>
        <v/>
      </c>
      <c r="AP7" s="104">
        <v>2.352941176470588E-3</v>
      </c>
      <c r="AQ7" s="91" t="str">
        <f>IFERROR(HLOOKUP(AP$2,'Power Summary'!$B$1:$BS$24,MATCH($A7,'Power Summary'!$A:$A,0), FALSE), "")</f>
        <v/>
      </c>
      <c r="AR7" s="107">
        <v>2.352941176470588E-3</v>
      </c>
      <c r="AS7" s="92" t="str">
        <f>IFERROR(HLOOKUP(AR$2,'Power Summary'!$B$1:$BS$24,MATCH($A7,'Power Summary'!$A:$A,0), FALSE), "")</f>
        <v/>
      </c>
      <c r="AT7" s="104">
        <v>2.352941176470588E-3</v>
      </c>
      <c r="AU7" s="91" t="str">
        <f>IFERROR(HLOOKUP(AT$2,'Power Summary'!$B$1:$BS$24,MATCH($A7,'Power Summary'!$A:$A,0), FALSE), "")</f>
        <v/>
      </c>
      <c r="AV7" s="107">
        <v>2.352941176470588E-3</v>
      </c>
      <c r="AW7" s="92" t="str">
        <f>IFERROR(HLOOKUP(AV$2,'Power Summary'!$B$1:$BS$24,MATCH($A7,'Power Summary'!$A:$A,0), FALSE), "")</f>
        <v/>
      </c>
      <c r="AX7" s="104">
        <v>2.352941176470588E-3</v>
      </c>
      <c r="AY7" s="91" t="str">
        <f>IFERROR(HLOOKUP(AX$2,'Power Summary'!$B$1:$BS$24,MATCH($A7,'Power Summary'!$A:$A,0), FALSE), "")</f>
        <v/>
      </c>
      <c r="AZ7" s="107">
        <v>2.354117647058823</v>
      </c>
      <c r="BA7" s="92" t="str">
        <f>IFERROR(HLOOKUP(AZ$2,'Power Summary'!$B$1:$BS$24,MATCH($A7,'Power Summary'!$A:$A,0), FALSE), "")</f>
        <v/>
      </c>
      <c r="BB7" s="104">
        <v>2.354117647058823</v>
      </c>
      <c r="BC7" s="111" t="str">
        <f>IFERROR(HLOOKUP(BB$2,'Power Summary'!$B$1:$BS$24,MATCH($A7,'Power Summary'!$A:$A,0), FALSE), "")</f>
        <v/>
      </c>
      <c r="BD7" s="115"/>
      <c r="BE7" s="116"/>
    </row>
    <row r="8" spans="1:57" ht="15" customHeight="1" thickBot="1" x14ac:dyDescent="0.4">
      <c r="A8" s="7" t="s">
        <v>122</v>
      </c>
      <c r="B8" s="104">
        <v>69</v>
      </c>
      <c r="C8" s="91" t="str">
        <f>IFERROR(HLOOKUP(B$2,'Power Summary'!$B$1:$BS$24,MATCH($A8,'Power Summary'!$A:$A,0), FALSE), "")</f>
        <v/>
      </c>
      <c r="D8" s="107">
        <v>49</v>
      </c>
      <c r="E8" s="92" t="str">
        <f>IFERROR(HLOOKUP(D$2,'Power Summary'!$B$1:$BS$24,MATCH($A8,'Power Summary'!$A:$A,0), FALSE), "")</f>
        <v/>
      </c>
      <c r="F8" s="104">
        <v>69</v>
      </c>
      <c r="G8" s="91" t="str">
        <f>IFERROR(HLOOKUP(F$2,'Power Summary'!$B$1:$BS$24,MATCH($A8,'Power Summary'!$A:$A,0), FALSE), "")</f>
        <v/>
      </c>
      <c r="H8" s="107">
        <v>49</v>
      </c>
      <c r="I8" s="92" t="str">
        <f>IFERROR(HLOOKUP(H$2,'Power Summary'!$B$1:$BS$24,MATCH($A8,'Power Summary'!$A:$A,0), FALSE), "")</f>
        <v/>
      </c>
      <c r="J8" s="104">
        <v>49</v>
      </c>
      <c r="K8" s="91" t="str">
        <f>IFERROR(HLOOKUP(J$2,'Power Summary'!$B$1:$BS$24,MATCH($A8,'Power Summary'!$A:$A,0), FALSE), "")</f>
        <v/>
      </c>
      <c r="L8" s="107">
        <v>49</v>
      </c>
      <c r="M8" s="92" t="str">
        <f>IFERROR(HLOOKUP(L$2,'Power Summary'!$B$1:$BS$24,MATCH($A8,'Power Summary'!$A:$A,0), FALSE), "")</f>
        <v/>
      </c>
      <c r="N8" s="104">
        <v>0.4</v>
      </c>
      <c r="O8" s="91" t="str">
        <f>IFERROR(HLOOKUP(N$2,'Power Summary'!$B$1:$BS$24,MATCH($A8,'Power Summary'!$A:$A,0), FALSE), "")</f>
        <v/>
      </c>
      <c r="P8" s="107">
        <v>49</v>
      </c>
      <c r="Q8" s="92" t="str">
        <f>IFERROR(HLOOKUP(P$2,'Power Summary'!$B$1:$BS$24,MATCH($A8,'Power Summary'!$A:$A,0), FALSE), "")</f>
        <v/>
      </c>
      <c r="R8" s="104">
        <v>0.4</v>
      </c>
      <c r="S8" s="91" t="str">
        <f>IFERROR(HLOOKUP(R$2,'Power Summary'!$B$1:$BS$24,MATCH($A8,'Power Summary'!$A:$A,0), FALSE), "")</f>
        <v/>
      </c>
      <c r="T8" s="107">
        <v>49</v>
      </c>
      <c r="U8" s="92" t="str">
        <f>IFERROR(HLOOKUP(T$2,'Power Summary'!$B$1:$BS$24,MATCH($A8,'Power Summary'!$A:$A,0), FALSE), "")</f>
        <v/>
      </c>
      <c r="V8" s="104">
        <v>49</v>
      </c>
      <c r="W8" s="91" t="str">
        <f>IFERROR(HLOOKUP(V$2,'Power Summary'!$B$1:$BS$24,MATCH($A8,'Power Summary'!$A:$A,0), FALSE), "")</f>
        <v/>
      </c>
      <c r="X8" s="107">
        <v>69</v>
      </c>
      <c r="Y8" s="92" t="str">
        <f>IFERROR(HLOOKUP(X$2,'Power Summary'!$B$1:$BS$24,MATCH($A8,'Power Summary'!$A:$A,0), FALSE), "")</f>
        <v/>
      </c>
      <c r="Z8" s="104">
        <v>69</v>
      </c>
      <c r="AA8" s="91" t="str">
        <f>IFERROR(HLOOKUP(Z$2,'Power Summary'!$B$1:$BS$24,MATCH($A8,'Power Summary'!$A:$A,0), FALSE), "")</f>
        <v/>
      </c>
      <c r="AB8" s="107">
        <v>0.4</v>
      </c>
      <c r="AC8" s="92" t="str">
        <f>IFERROR(HLOOKUP(AB$2,'Power Summary'!$B$1:$BS$24,MATCH($A8,'Power Summary'!$A:$A,0), FALSE), "")</f>
        <v/>
      </c>
      <c r="AD8" s="104">
        <v>49</v>
      </c>
      <c r="AE8" s="91" t="str">
        <f>IFERROR(HLOOKUP(AD$2,'Power Summary'!$B$1:$BS$24,MATCH($A8,'Power Summary'!$A:$A,0), FALSE), "")</f>
        <v/>
      </c>
      <c r="AF8" s="107">
        <v>69</v>
      </c>
      <c r="AG8" s="92" t="str">
        <f>IFERROR(HLOOKUP(AF$2,'Power Summary'!$B$1:$BS$24,MATCH($A8,'Power Summary'!$A:$A,0), FALSE), "")</f>
        <v/>
      </c>
      <c r="AH8" s="104">
        <v>69</v>
      </c>
      <c r="AI8" s="91" t="str">
        <f>IFERROR(HLOOKUP(AH$2,'Power Summary'!$B$1:$BS$24,MATCH($A8,'Power Summary'!$A:$A,0), FALSE), "")</f>
        <v/>
      </c>
      <c r="AJ8" s="107">
        <v>69</v>
      </c>
      <c r="AK8" s="92" t="str">
        <f>IFERROR(HLOOKUP(AJ$2,'Power Summary'!$B$1:$BS$24,MATCH($A8,'Power Summary'!$A:$A,0), FALSE), "")</f>
        <v/>
      </c>
      <c r="AL8" s="104">
        <v>49</v>
      </c>
      <c r="AM8" s="91" t="str">
        <f>IFERROR(HLOOKUP(AL$2,'Power Summary'!$B$1:$BS$24,MATCH($A8,'Power Summary'!$A:$A,0), FALSE), "")</f>
        <v/>
      </c>
      <c r="AN8" s="107">
        <v>64</v>
      </c>
      <c r="AO8" s="92" t="str">
        <f>IFERROR(HLOOKUP(AN$2,'Power Summary'!$B$1:$BS$24,MATCH($A8,'Power Summary'!$A:$A,0), FALSE), "")</f>
        <v/>
      </c>
      <c r="AP8" s="104">
        <v>0.4</v>
      </c>
      <c r="AQ8" s="91" t="str">
        <f>IFERROR(HLOOKUP(AP$2,'Power Summary'!$B$1:$BS$24,MATCH($A8,'Power Summary'!$A:$A,0), FALSE), "")</f>
        <v/>
      </c>
      <c r="AR8" s="107">
        <v>0.4</v>
      </c>
      <c r="AS8" s="92" t="str">
        <f>IFERROR(HLOOKUP(AR$2,'Power Summary'!$B$1:$BS$24,MATCH($A8,'Power Summary'!$A:$A,0), FALSE), "")</f>
        <v/>
      </c>
      <c r="AT8" s="104">
        <v>0.4</v>
      </c>
      <c r="AU8" s="91" t="str">
        <f>IFERROR(HLOOKUP(AT$2,'Power Summary'!$B$1:$BS$24,MATCH($A8,'Power Summary'!$A:$A,0), FALSE), "")</f>
        <v/>
      </c>
      <c r="AV8" s="107">
        <v>0.4</v>
      </c>
      <c r="AW8" s="92" t="str">
        <f>IFERROR(HLOOKUP(AV$2,'Power Summary'!$B$1:$BS$24,MATCH($A8,'Power Summary'!$A:$A,0), FALSE), "")</f>
        <v/>
      </c>
      <c r="AX8" s="104">
        <v>0.4</v>
      </c>
      <c r="AY8" s="91" t="str">
        <f>IFERROR(HLOOKUP(AX$2,'Power Summary'!$B$1:$BS$24,MATCH($A8,'Power Summary'!$A:$A,0), FALSE), "")</f>
        <v/>
      </c>
      <c r="AZ8" s="107">
        <v>69</v>
      </c>
      <c r="BA8" s="92" t="str">
        <f>IFERROR(HLOOKUP(AZ$2,'Power Summary'!$B$1:$BS$24,MATCH($A8,'Power Summary'!$A:$A,0), FALSE), "")</f>
        <v/>
      </c>
      <c r="BB8" s="104">
        <v>69</v>
      </c>
      <c r="BC8" s="111" t="str">
        <f>IFERROR(HLOOKUP(BB$2,'Power Summary'!$B$1:$BS$24,MATCH($A8,'Power Summary'!$A:$A,0), FALSE), "")</f>
        <v/>
      </c>
      <c r="BD8" s="115"/>
      <c r="BE8" s="116"/>
    </row>
    <row r="9" spans="1:57" ht="15" customHeight="1" thickBot="1" x14ac:dyDescent="0.4">
      <c r="A9" s="7" t="s">
        <v>123</v>
      </c>
      <c r="B9" s="104">
        <v>7.8294117647058838</v>
      </c>
      <c r="C9" s="91" t="str">
        <f>IFERROR(HLOOKUP(B$2,'Power Summary'!$B$1:$BS$24,MATCH($A9,'Power Summary'!$A:$A,0), FALSE), "")</f>
        <v/>
      </c>
      <c r="D9" s="107">
        <v>4.6976470588235308</v>
      </c>
      <c r="E9" s="92" t="str">
        <f>IFERROR(HLOOKUP(D$2,'Power Summary'!$B$1:$BS$24,MATCH($A9,'Power Summary'!$A:$A,0), FALSE), "")</f>
        <v/>
      </c>
      <c r="F9" s="104">
        <v>7.8294117647058838</v>
      </c>
      <c r="G9" s="91" t="str">
        <f>IFERROR(HLOOKUP(F$2,'Power Summary'!$B$1:$BS$24,MATCH($A9,'Power Summary'!$A:$A,0), FALSE), "")</f>
        <v/>
      </c>
      <c r="H9" s="107">
        <v>3.1317647058823539</v>
      </c>
      <c r="I9" s="92" t="str">
        <f>IFERROR(HLOOKUP(H$2,'Power Summary'!$B$1:$BS$24,MATCH($A9,'Power Summary'!$A:$A,0), FALSE), "")</f>
        <v/>
      </c>
      <c r="J9" s="104">
        <v>7.8294117647058838</v>
      </c>
      <c r="K9" s="91" t="str">
        <f>IFERROR(HLOOKUP(J$2,'Power Summary'!$B$1:$BS$24,MATCH($A9,'Power Summary'!$A:$A,0), FALSE), "")</f>
        <v/>
      </c>
      <c r="L9" s="107">
        <v>4.6976470588235308</v>
      </c>
      <c r="M9" s="92" t="str">
        <f>IFERROR(HLOOKUP(L$2,'Power Summary'!$B$1:$BS$24,MATCH($A9,'Power Summary'!$A:$A,0), FALSE), "")</f>
        <v/>
      </c>
      <c r="N9" s="104">
        <v>4.6976470588235308</v>
      </c>
      <c r="O9" s="91" t="str">
        <f>IFERROR(HLOOKUP(N$2,'Power Summary'!$B$1:$BS$24,MATCH($A9,'Power Summary'!$A:$A,0), FALSE), "")</f>
        <v/>
      </c>
      <c r="P9" s="107">
        <v>4.6976470588235308</v>
      </c>
      <c r="Q9" s="92" t="str">
        <f>IFERROR(HLOOKUP(P$2,'Power Summary'!$B$1:$BS$24,MATCH($A9,'Power Summary'!$A:$A,0), FALSE), "")</f>
        <v/>
      </c>
      <c r="R9" s="104">
        <v>4.6976470588235308</v>
      </c>
      <c r="S9" s="91" t="str">
        <f>IFERROR(HLOOKUP(R$2,'Power Summary'!$B$1:$BS$24,MATCH($A9,'Power Summary'!$A:$A,0), FALSE), "")</f>
        <v/>
      </c>
      <c r="T9" s="107">
        <v>4.6976470588235308</v>
      </c>
      <c r="U9" s="92" t="str">
        <f>IFERROR(HLOOKUP(T$2,'Power Summary'!$B$1:$BS$24,MATCH($A9,'Power Summary'!$A:$A,0), FALSE), "")</f>
        <v/>
      </c>
      <c r="V9" s="104">
        <v>4.6976470588235308</v>
      </c>
      <c r="W9" s="91" t="str">
        <f>IFERROR(HLOOKUP(V$2,'Power Summary'!$B$1:$BS$24,MATCH($A9,'Power Summary'!$A:$A,0), FALSE), "")</f>
        <v/>
      </c>
      <c r="X9" s="107">
        <v>4.6976470588235308</v>
      </c>
      <c r="Y9" s="92" t="str">
        <f>IFERROR(HLOOKUP(X$2,'Power Summary'!$B$1:$BS$24,MATCH($A9,'Power Summary'!$A:$A,0), FALSE), "")</f>
        <v/>
      </c>
      <c r="Z9" s="104">
        <v>7.8294117647058838</v>
      </c>
      <c r="AA9" s="91" t="str">
        <f>IFERROR(HLOOKUP(Z$2,'Power Summary'!$B$1:$BS$24,MATCH($A9,'Power Summary'!$A:$A,0), FALSE), "")</f>
        <v/>
      </c>
      <c r="AB9" s="107">
        <v>4.6976470588235308</v>
      </c>
      <c r="AC9" s="92" t="str">
        <f>IFERROR(HLOOKUP(AB$2,'Power Summary'!$B$1:$BS$24,MATCH($A9,'Power Summary'!$A:$A,0), FALSE), "")</f>
        <v/>
      </c>
      <c r="AD9" s="104">
        <v>7.8294117647058838</v>
      </c>
      <c r="AE9" s="91" t="str">
        <f>IFERROR(HLOOKUP(AD$2,'Power Summary'!$B$1:$BS$24,MATCH($A9,'Power Summary'!$A:$A,0), FALSE), "")</f>
        <v/>
      </c>
      <c r="AF9" s="107">
        <v>12.527058823529419</v>
      </c>
      <c r="AG9" s="92" t="str">
        <f>IFERROR(HLOOKUP(AF$2,'Power Summary'!$B$1:$BS$24,MATCH($A9,'Power Summary'!$A:$A,0), FALSE), "")</f>
        <v/>
      </c>
      <c r="AH9" s="104">
        <v>3.1317647058823539</v>
      </c>
      <c r="AI9" s="91" t="str">
        <f>IFERROR(HLOOKUP(AH$2,'Power Summary'!$B$1:$BS$24,MATCH($A9,'Power Summary'!$A:$A,0), FALSE), "")</f>
        <v/>
      </c>
      <c r="AJ9" s="107">
        <v>3.1317647058823539</v>
      </c>
      <c r="AK9" s="92" t="str">
        <f>IFERROR(HLOOKUP(AJ$2,'Power Summary'!$B$1:$BS$24,MATCH($A9,'Power Summary'!$A:$A,0), FALSE), "")</f>
        <v/>
      </c>
      <c r="AL9" s="104">
        <v>3.1317647058823539</v>
      </c>
      <c r="AM9" s="91" t="str">
        <f>IFERROR(HLOOKUP(AL$2,'Power Summary'!$B$1:$BS$24,MATCH($A9,'Power Summary'!$A:$A,0), FALSE), "")</f>
        <v/>
      </c>
      <c r="AN9" s="107">
        <v>23.488235294117651</v>
      </c>
      <c r="AO9" s="92" t="str">
        <f>IFERROR(HLOOKUP(AN$2,'Power Summary'!$B$1:$BS$24,MATCH($A9,'Power Summary'!$A:$A,0), FALSE), "")</f>
        <v/>
      </c>
      <c r="AP9" s="104">
        <v>2.5711223529411771</v>
      </c>
      <c r="AQ9" s="91" t="str">
        <f>IFERROR(HLOOKUP(AP$2,'Power Summary'!$B$1:$BS$24,MATCH($A9,'Power Summary'!$A:$A,0), FALSE), "")</f>
        <v/>
      </c>
      <c r="AR9" s="107">
        <v>2.5711223529411771</v>
      </c>
      <c r="AS9" s="92" t="str">
        <f>IFERROR(HLOOKUP(AR$2,'Power Summary'!$B$1:$BS$24,MATCH($A9,'Power Summary'!$A:$A,0), FALSE), "")</f>
        <v/>
      </c>
      <c r="AT9" s="104">
        <v>2.5711223529411771</v>
      </c>
      <c r="AU9" s="91" t="str">
        <f>IFERROR(HLOOKUP(AT$2,'Power Summary'!$B$1:$BS$24,MATCH($A9,'Power Summary'!$A:$A,0), FALSE), "")</f>
        <v/>
      </c>
      <c r="AV9" s="107">
        <v>2.5711223529411771</v>
      </c>
      <c r="AW9" s="92" t="str">
        <f>IFERROR(HLOOKUP(AV$2,'Power Summary'!$B$1:$BS$24,MATCH($A9,'Power Summary'!$A:$A,0), FALSE), "")</f>
        <v/>
      </c>
      <c r="AX9" s="104">
        <v>2.5711223529411771</v>
      </c>
      <c r="AY9" s="91" t="str">
        <f>IFERROR(HLOOKUP(AX$2,'Power Summary'!$B$1:$BS$24,MATCH($A9,'Power Summary'!$A:$A,0), FALSE), "")</f>
        <v/>
      </c>
      <c r="AZ9" s="107">
        <v>7.8294117647058838</v>
      </c>
      <c r="BA9" s="92" t="str">
        <f>IFERROR(HLOOKUP(AZ$2,'Power Summary'!$B$1:$BS$24,MATCH($A9,'Power Summary'!$A:$A,0), FALSE), "")</f>
        <v/>
      </c>
      <c r="BB9" s="104">
        <v>15.658823529411769</v>
      </c>
      <c r="BC9" s="111" t="str">
        <f>IFERROR(HLOOKUP(BB$2,'Power Summary'!$B$1:$BS$24,MATCH($A9,'Power Summary'!$A:$A,0), FALSE), "")</f>
        <v/>
      </c>
      <c r="BD9" s="115"/>
      <c r="BE9" s="116"/>
    </row>
    <row r="10" spans="1:57" ht="15" customHeight="1" thickBot="1" x14ac:dyDescent="0.4">
      <c r="A10" s="7" t="s">
        <v>124</v>
      </c>
      <c r="B10" s="104">
        <v>0.1176470588235294</v>
      </c>
      <c r="C10" s="91" t="str">
        <f>IFERROR(HLOOKUP(B$2,'Power Summary'!$B$1:$BS$24,MATCH($A10,'Power Summary'!$A:$A,0), FALSE), "")</f>
        <v/>
      </c>
      <c r="D10" s="107">
        <v>0.1176470588235294</v>
      </c>
      <c r="E10" s="92" t="str">
        <f>IFERROR(HLOOKUP(D$2,'Power Summary'!$B$1:$BS$24,MATCH($A10,'Power Summary'!$A:$A,0), FALSE), "")</f>
        <v/>
      </c>
      <c r="F10" s="104">
        <v>0.1176470588235294</v>
      </c>
      <c r="G10" s="91" t="str">
        <f>IFERROR(HLOOKUP(F$2,'Power Summary'!$B$1:$BS$24,MATCH($A10,'Power Summary'!$A:$A,0), FALSE), "")</f>
        <v/>
      </c>
      <c r="H10" s="107">
        <v>349.29411764705878</v>
      </c>
      <c r="I10" s="92" t="str">
        <f>IFERROR(HLOOKUP(H$2,'Power Summary'!$B$1:$BS$24,MATCH($A10,'Power Summary'!$A:$A,0), FALSE), "")</f>
        <v/>
      </c>
      <c r="J10" s="104">
        <v>0.1176470588235294</v>
      </c>
      <c r="K10" s="91" t="str">
        <f>IFERROR(HLOOKUP(J$2,'Power Summary'!$B$1:$BS$24,MATCH($A10,'Power Summary'!$A:$A,0), FALSE), "")</f>
        <v/>
      </c>
      <c r="L10" s="107">
        <v>0.1176470588235294</v>
      </c>
      <c r="M10" s="92" t="str">
        <f>IFERROR(HLOOKUP(L$2,'Power Summary'!$B$1:$BS$24,MATCH($A10,'Power Summary'!$A:$A,0), FALSE), "")</f>
        <v/>
      </c>
      <c r="N10" s="104">
        <v>0.1176470588235294</v>
      </c>
      <c r="O10" s="91" t="str">
        <f>IFERROR(HLOOKUP(N$2,'Power Summary'!$B$1:$BS$24,MATCH($A10,'Power Summary'!$A:$A,0), FALSE), "")</f>
        <v/>
      </c>
      <c r="P10" s="107">
        <v>0.1176470588235294</v>
      </c>
      <c r="Q10" s="92" t="str">
        <f>IFERROR(HLOOKUP(P$2,'Power Summary'!$B$1:$BS$24,MATCH($A10,'Power Summary'!$A:$A,0), FALSE), "")</f>
        <v/>
      </c>
      <c r="R10" s="104">
        <v>0.1176470588235294</v>
      </c>
      <c r="S10" s="91" t="str">
        <f>IFERROR(HLOOKUP(R$2,'Power Summary'!$B$1:$BS$24,MATCH($A10,'Power Summary'!$A:$A,0), FALSE), "")</f>
        <v/>
      </c>
      <c r="T10" s="107">
        <v>0.1176470588235294</v>
      </c>
      <c r="U10" s="92" t="str">
        <f>IFERROR(HLOOKUP(T$2,'Power Summary'!$B$1:$BS$24,MATCH($A10,'Power Summary'!$A:$A,0), FALSE), "")</f>
        <v/>
      </c>
      <c r="V10" s="104">
        <v>0.1176470588235294</v>
      </c>
      <c r="W10" s="91" t="str">
        <f>IFERROR(HLOOKUP(V$2,'Power Summary'!$B$1:$BS$24,MATCH($A10,'Power Summary'!$A:$A,0), FALSE), "")</f>
        <v/>
      </c>
      <c r="X10" s="107">
        <v>0.1176470588235294</v>
      </c>
      <c r="Y10" s="92" t="str">
        <f>IFERROR(HLOOKUP(X$2,'Power Summary'!$B$1:$BS$24,MATCH($A10,'Power Summary'!$A:$A,0), FALSE), "")</f>
        <v/>
      </c>
      <c r="Z10" s="104">
        <v>0.1176470588235294</v>
      </c>
      <c r="AA10" s="91" t="str">
        <f>IFERROR(HLOOKUP(Z$2,'Power Summary'!$B$1:$BS$24,MATCH($A10,'Power Summary'!$A:$A,0), FALSE), "")</f>
        <v/>
      </c>
      <c r="AB10" s="107">
        <v>0.1176470588235294</v>
      </c>
      <c r="AC10" s="92" t="str">
        <f>IFERROR(HLOOKUP(AB$2,'Power Summary'!$B$1:$BS$24,MATCH($A10,'Power Summary'!$A:$A,0), FALSE), "")</f>
        <v/>
      </c>
      <c r="AD10" s="104">
        <v>0.1176470588235294</v>
      </c>
      <c r="AE10" s="91" t="str">
        <f>IFERROR(HLOOKUP(AD$2,'Power Summary'!$B$1:$BS$24,MATCH($A10,'Power Summary'!$A:$A,0), FALSE), "")</f>
        <v/>
      </c>
      <c r="AF10" s="107">
        <v>0.1176470588235294</v>
      </c>
      <c r="AG10" s="92" t="str">
        <f>IFERROR(HLOOKUP(AF$2,'Power Summary'!$B$1:$BS$24,MATCH($A10,'Power Summary'!$A:$A,0), FALSE), "")</f>
        <v/>
      </c>
      <c r="AH10" s="104">
        <v>0.1176470588235294</v>
      </c>
      <c r="AI10" s="91" t="str">
        <f>IFERROR(HLOOKUP(AH$2,'Power Summary'!$B$1:$BS$24,MATCH($A10,'Power Summary'!$A:$A,0), FALSE), "")</f>
        <v/>
      </c>
      <c r="AJ10" s="107">
        <v>0.1176470588235294</v>
      </c>
      <c r="AK10" s="92" t="str">
        <f>IFERROR(HLOOKUP(AJ$2,'Power Summary'!$B$1:$BS$24,MATCH($A10,'Power Summary'!$A:$A,0), FALSE), "")</f>
        <v/>
      </c>
      <c r="AL10" s="104">
        <v>0.1176470588235294</v>
      </c>
      <c r="AM10" s="91" t="str">
        <f>IFERROR(HLOOKUP(AL$2,'Power Summary'!$B$1:$BS$24,MATCH($A10,'Power Summary'!$A:$A,0), FALSE), "")</f>
        <v/>
      </c>
      <c r="AN10" s="107">
        <v>1.176470588235294E-3</v>
      </c>
      <c r="AO10" s="92" t="str">
        <f>IFERROR(HLOOKUP(AN$2,'Power Summary'!$B$1:$BS$24,MATCH($A10,'Power Summary'!$A:$A,0), FALSE), "")</f>
        <v/>
      </c>
      <c r="AP10" s="104">
        <v>1.176470588235294E-3</v>
      </c>
      <c r="AQ10" s="91" t="str">
        <f>IFERROR(HLOOKUP(AP$2,'Power Summary'!$B$1:$BS$24,MATCH($A10,'Power Summary'!$A:$A,0), FALSE), "")</f>
        <v/>
      </c>
      <c r="AR10" s="107">
        <v>1.176470588235294E-3</v>
      </c>
      <c r="AS10" s="92" t="str">
        <f>IFERROR(HLOOKUP(AR$2,'Power Summary'!$B$1:$BS$24,MATCH($A10,'Power Summary'!$A:$A,0), FALSE), "")</f>
        <v/>
      </c>
      <c r="AT10" s="104">
        <v>1.176470588235294E-3</v>
      </c>
      <c r="AU10" s="91" t="str">
        <f>IFERROR(HLOOKUP(AT$2,'Power Summary'!$B$1:$BS$24,MATCH($A10,'Power Summary'!$A:$A,0), FALSE), "")</f>
        <v/>
      </c>
      <c r="AV10" s="107">
        <v>1.176470588235294E-3</v>
      </c>
      <c r="AW10" s="92" t="str">
        <f>IFERROR(HLOOKUP(AV$2,'Power Summary'!$B$1:$BS$24,MATCH($A10,'Power Summary'!$A:$A,0), FALSE), "")</f>
        <v/>
      </c>
      <c r="AX10" s="104">
        <v>1.176470588235294E-3</v>
      </c>
      <c r="AY10" s="91" t="str">
        <f>IFERROR(HLOOKUP(AX$2,'Power Summary'!$B$1:$BS$24,MATCH($A10,'Power Summary'!$A:$A,0), FALSE), "")</f>
        <v/>
      </c>
      <c r="AZ10" s="107">
        <v>350</v>
      </c>
      <c r="BA10" s="92" t="str">
        <f>IFERROR(HLOOKUP(AZ$2,'Power Summary'!$B$1:$BS$24,MATCH($A10,'Power Summary'!$A:$A,0), FALSE), "")</f>
        <v/>
      </c>
      <c r="BB10" s="104">
        <v>850</v>
      </c>
      <c r="BC10" s="111" t="str">
        <f>IFERROR(HLOOKUP(BB$2,'Power Summary'!$B$1:$BS$24,MATCH($A10,'Power Summary'!$A:$A,0), FALSE), "")</f>
        <v/>
      </c>
      <c r="BD10" s="115"/>
      <c r="BE10" s="116"/>
    </row>
    <row r="11" spans="1:57" ht="15" customHeight="1" thickBot="1" x14ac:dyDescent="0.4">
      <c r="A11" s="7" t="s">
        <v>132</v>
      </c>
      <c r="B11" s="104">
        <v>141.29411764705881</v>
      </c>
      <c r="C11" s="91" t="str">
        <f>IFERROR(HLOOKUP(B$2,'Power Summary'!$B$1:$BS$24,MATCH($A11,'Power Summary'!$A:$A,0), FALSE), "")</f>
        <v/>
      </c>
      <c r="D11" s="107">
        <v>114.8235294117647</v>
      </c>
      <c r="E11" s="92" t="str">
        <f>IFERROR(HLOOKUP(D$2,'Power Summary'!$B$1:$BS$24,MATCH($A11,'Power Summary'!$A:$A,0), FALSE), "")</f>
        <v/>
      </c>
      <c r="F11" s="104">
        <v>114.8235294117647</v>
      </c>
      <c r="G11" s="91" t="str">
        <f>IFERROR(HLOOKUP(F$2,'Power Summary'!$B$1:$BS$24,MATCH($A11,'Power Summary'!$A:$A,0), FALSE), "")</f>
        <v/>
      </c>
      <c r="H11" s="107">
        <v>176.58823529411771</v>
      </c>
      <c r="I11" s="92" t="str">
        <f>IFERROR(HLOOKUP(H$2,'Power Summary'!$B$1:$BS$24,MATCH($A11,'Power Summary'!$A:$A,0), FALSE), "")</f>
        <v/>
      </c>
      <c r="J11" s="104">
        <v>79.529411764705884</v>
      </c>
      <c r="K11" s="91" t="str">
        <f>IFERROR(HLOOKUP(J$2,'Power Summary'!$B$1:$BS$24,MATCH($A11,'Power Summary'!$A:$A,0), FALSE), "")</f>
        <v/>
      </c>
      <c r="L11" s="107">
        <v>1</v>
      </c>
      <c r="M11" s="92" t="str">
        <f>IFERROR(HLOOKUP(L$2,'Power Summary'!$B$1:$BS$24,MATCH($A11,'Power Summary'!$A:$A,0), FALSE), "")</f>
        <v/>
      </c>
      <c r="N11" s="104">
        <v>35.411764705882362</v>
      </c>
      <c r="O11" s="91" t="str">
        <f>IFERROR(HLOOKUP(N$2,'Power Summary'!$B$1:$BS$24,MATCH($A11,'Power Summary'!$A:$A,0), FALSE), "")</f>
        <v/>
      </c>
      <c r="P11" s="107">
        <v>70.705882352941188</v>
      </c>
      <c r="Q11" s="92" t="str">
        <f>IFERROR(HLOOKUP(P$2,'Power Summary'!$B$1:$BS$24,MATCH($A11,'Power Summary'!$A:$A,0), FALSE), "")</f>
        <v/>
      </c>
      <c r="R11" s="104">
        <v>1</v>
      </c>
      <c r="S11" s="91" t="str">
        <f>IFERROR(HLOOKUP(R$2,'Power Summary'!$B$1:$BS$24,MATCH($A11,'Power Summary'!$A:$A,0), FALSE), "")</f>
        <v/>
      </c>
      <c r="T11" s="107">
        <v>106</v>
      </c>
      <c r="U11" s="92" t="str">
        <f>IFERROR(HLOOKUP(T$2,'Power Summary'!$B$1:$BS$24,MATCH($A11,'Power Summary'!$A:$A,0), FALSE), "")</f>
        <v/>
      </c>
      <c r="V11" s="104">
        <v>88.352941176470594</v>
      </c>
      <c r="W11" s="91" t="str">
        <f>IFERROR(HLOOKUP(V$2,'Power Summary'!$B$1:$BS$24,MATCH($A11,'Power Summary'!$A:$A,0), FALSE), "")</f>
        <v/>
      </c>
      <c r="X11" s="107">
        <v>88.352941176470594</v>
      </c>
      <c r="Y11" s="92" t="str">
        <f>IFERROR(HLOOKUP(X$2,'Power Summary'!$B$1:$BS$24,MATCH($A11,'Power Summary'!$A:$A,0), FALSE), "")</f>
        <v/>
      </c>
      <c r="Z11" s="104">
        <v>97.176470588235304</v>
      </c>
      <c r="AA11" s="91" t="str">
        <f>IFERROR(HLOOKUP(Z$2,'Power Summary'!$B$1:$BS$24,MATCH($A11,'Power Summary'!$A:$A,0), FALSE), "")</f>
        <v/>
      </c>
      <c r="AB11" s="107">
        <v>132.47058823529409</v>
      </c>
      <c r="AC11" s="92" t="str">
        <f>IFERROR(HLOOKUP(AB$2,'Power Summary'!$B$1:$BS$24,MATCH($A11,'Power Summary'!$A:$A,0), FALSE), "")</f>
        <v/>
      </c>
      <c r="AD11" s="104">
        <v>158.9411764705882</v>
      </c>
      <c r="AE11" s="91" t="str">
        <f>IFERROR(HLOOKUP(AD$2,'Power Summary'!$B$1:$BS$24,MATCH($A11,'Power Summary'!$A:$A,0), FALSE), "")</f>
        <v/>
      </c>
      <c r="AF11" s="107">
        <v>123.64705882352941</v>
      </c>
      <c r="AG11" s="92" t="str">
        <f>IFERROR(HLOOKUP(AF$2,'Power Summary'!$B$1:$BS$24,MATCH($A11,'Power Summary'!$A:$A,0), FALSE), "")</f>
        <v/>
      </c>
      <c r="AH11" s="104">
        <v>1</v>
      </c>
      <c r="AI11" s="91" t="str">
        <f>IFERROR(HLOOKUP(AH$2,'Power Summary'!$B$1:$BS$24,MATCH($A11,'Power Summary'!$A:$A,0), FALSE), "")</f>
        <v/>
      </c>
      <c r="AJ11" s="107">
        <v>1</v>
      </c>
      <c r="AK11" s="92" t="str">
        <f>IFERROR(HLOOKUP(AJ$2,'Power Summary'!$B$1:$BS$24,MATCH($A11,'Power Summary'!$A:$A,0), FALSE), "")</f>
        <v/>
      </c>
      <c r="AL11" s="104">
        <v>1</v>
      </c>
      <c r="AM11" s="91" t="str">
        <f>IFERROR(HLOOKUP(AL$2,'Power Summary'!$B$1:$BS$24,MATCH($A11,'Power Summary'!$A:$A,0), FALSE), "")</f>
        <v/>
      </c>
      <c r="AN11" s="107">
        <v>114.8235294117647</v>
      </c>
      <c r="AO11" s="92" t="str">
        <f>IFERROR(HLOOKUP(AN$2,'Power Summary'!$B$1:$BS$24,MATCH($A11,'Power Summary'!$A:$A,0), FALSE), "")</f>
        <v/>
      </c>
      <c r="AP11" s="104">
        <v>3.6470588235294121</v>
      </c>
      <c r="AQ11" s="91" t="str">
        <f>IFERROR(HLOOKUP(AP$2,'Power Summary'!$B$1:$BS$24,MATCH($A11,'Power Summary'!$A:$A,0), FALSE), "")</f>
        <v/>
      </c>
      <c r="AR11" s="107">
        <v>3.6470588235294121</v>
      </c>
      <c r="AS11" s="92" t="str">
        <f>IFERROR(HLOOKUP(AR$2,'Power Summary'!$B$1:$BS$24,MATCH($A11,'Power Summary'!$A:$A,0), FALSE), "")</f>
        <v/>
      </c>
      <c r="AT11" s="104">
        <v>3.6470588235294121</v>
      </c>
      <c r="AU11" s="91" t="str">
        <f>IFERROR(HLOOKUP(AT$2,'Power Summary'!$B$1:$BS$24,MATCH($A11,'Power Summary'!$A:$A,0), FALSE), "")</f>
        <v/>
      </c>
      <c r="AV11" s="107">
        <v>3.6470588235294121</v>
      </c>
      <c r="AW11" s="92" t="str">
        <f>IFERROR(HLOOKUP(AV$2,'Power Summary'!$B$1:$BS$24,MATCH($A11,'Power Summary'!$A:$A,0), FALSE), "")</f>
        <v/>
      </c>
      <c r="AX11" s="104">
        <v>1</v>
      </c>
      <c r="AY11" s="91" t="str">
        <f>IFERROR(HLOOKUP(AX$2,'Power Summary'!$B$1:$BS$24,MATCH($A11,'Power Summary'!$A:$A,0), FALSE), "")</f>
        <v/>
      </c>
      <c r="AZ11" s="107">
        <v>1</v>
      </c>
      <c r="BA11" s="92" t="str">
        <f>IFERROR(HLOOKUP(AZ$2,'Power Summary'!$B$1:$BS$24,MATCH($A11,'Power Summary'!$A:$A,0), FALSE), "")</f>
        <v/>
      </c>
      <c r="BB11" s="104">
        <v>1</v>
      </c>
      <c r="BC11" s="111" t="str">
        <f>IFERROR(HLOOKUP(BB$2,'Power Summary'!$B$1:$BS$24,MATCH($A11,'Power Summary'!$A:$A,0), FALSE), "")</f>
        <v/>
      </c>
      <c r="BD11" s="115"/>
      <c r="BE11" s="116"/>
    </row>
    <row r="12" spans="1:57" ht="15" customHeight="1" thickBot="1" x14ac:dyDescent="0.4">
      <c r="A12" s="7" t="s">
        <v>126</v>
      </c>
      <c r="B12" s="104">
        <v>148.5</v>
      </c>
      <c r="C12" s="91" t="str">
        <f>IFERROR(HLOOKUP(B$2,'Power Summary'!$B$1:$BS$24,MATCH($A12,'Power Summary'!$A:$A,0), FALSE), "")</f>
        <v/>
      </c>
      <c r="D12" s="107">
        <v>93.500000000000014</v>
      </c>
      <c r="E12" s="92" t="str">
        <f>IFERROR(HLOOKUP(D$2,'Power Summary'!$B$1:$BS$24,MATCH($A12,'Power Summary'!$A:$A,0), FALSE), "")</f>
        <v/>
      </c>
      <c r="F12" s="104">
        <v>99.000000000000014</v>
      </c>
      <c r="G12" s="91" t="str">
        <f>IFERROR(HLOOKUP(F$2,'Power Summary'!$B$1:$BS$24,MATCH($A12,'Power Summary'!$A:$A,0), FALSE), "")</f>
        <v/>
      </c>
      <c r="H12" s="107">
        <v>330</v>
      </c>
      <c r="I12" s="92" t="str">
        <f>IFERROR(HLOOKUP(H$2,'Power Summary'!$B$1:$BS$24,MATCH($A12,'Power Summary'!$A:$A,0), FALSE), "")</f>
        <v/>
      </c>
      <c r="J12" s="104">
        <v>60.500000000000007</v>
      </c>
      <c r="K12" s="91" t="str">
        <f>IFERROR(HLOOKUP(J$2,'Power Summary'!$B$1:$BS$24,MATCH($A12,'Power Summary'!$A:$A,0), FALSE), "")</f>
        <v/>
      </c>
      <c r="L12" s="107">
        <v>33</v>
      </c>
      <c r="M12" s="92" t="str">
        <f>IFERROR(HLOOKUP(L$2,'Power Summary'!$B$1:$BS$24,MATCH($A12,'Power Summary'!$A:$A,0), FALSE), "")</f>
        <v/>
      </c>
      <c r="N12" s="104">
        <v>10</v>
      </c>
      <c r="O12" s="91" t="str">
        <f>IFERROR(HLOOKUP(N$2,'Power Summary'!$B$1:$BS$24,MATCH($A12,'Power Summary'!$A:$A,0), FALSE), "")</f>
        <v/>
      </c>
      <c r="P12" s="107">
        <v>49.500000000000007</v>
      </c>
      <c r="Q12" s="92" t="str">
        <f>IFERROR(HLOOKUP(P$2,'Power Summary'!$B$1:$BS$24,MATCH($A12,'Power Summary'!$A:$A,0), FALSE), "")</f>
        <v/>
      </c>
      <c r="R12" s="104">
        <v>0.5</v>
      </c>
      <c r="S12" s="91" t="str">
        <f>IFERROR(HLOOKUP(R$2,'Power Summary'!$B$1:$BS$24,MATCH($A12,'Power Summary'!$A:$A,0), FALSE), "")</f>
        <v/>
      </c>
      <c r="T12" s="107">
        <v>88</v>
      </c>
      <c r="U12" s="92" t="str">
        <f>IFERROR(HLOOKUP(T$2,'Power Summary'!$B$1:$BS$24,MATCH($A12,'Power Summary'!$A:$A,0), FALSE), "")</f>
        <v/>
      </c>
      <c r="V12" s="104">
        <v>55.000000000000007</v>
      </c>
      <c r="W12" s="91" t="str">
        <f>IFERROR(HLOOKUP(V$2,'Power Summary'!$B$1:$BS$24,MATCH($A12,'Power Summary'!$A:$A,0), FALSE), "")</f>
        <v/>
      </c>
      <c r="X12" s="107">
        <v>55.000000000000007</v>
      </c>
      <c r="Y12" s="92" t="str">
        <f>IFERROR(HLOOKUP(X$2,'Power Summary'!$B$1:$BS$24,MATCH($A12,'Power Summary'!$A:$A,0), FALSE), "")</f>
        <v/>
      </c>
      <c r="Z12" s="104">
        <v>71.5</v>
      </c>
      <c r="AA12" s="91" t="str">
        <f>IFERROR(HLOOKUP(Z$2,'Power Summary'!$B$1:$BS$24,MATCH($A12,'Power Summary'!$A:$A,0), FALSE), "")</f>
        <v/>
      </c>
      <c r="AB12" s="107">
        <v>15</v>
      </c>
      <c r="AC12" s="92" t="str">
        <f>IFERROR(HLOOKUP(AB$2,'Power Summary'!$B$1:$BS$24,MATCH($A12,'Power Summary'!$A:$A,0), FALSE), "")</f>
        <v/>
      </c>
      <c r="AD12" s="104">
        <v>132</v>
      </c>
      <c r="AE12" s="91" t="str">
        <f>IFERROR(HLOOKUP(AD$2,'Power Summary'!$B$1:$BS$24,MATCH($A12,'Power Summary'!$A:$A,0), FALSE), "")</f>
        <v/>
      </c>
      <c r="AF12" s="107">
        <v>143</v>
      </c>
      <c r="AG12" s="92" t="str">
        <f>IFERROR(HLOOKUP(AF$2,'Power Summary'!$B$1:$BS$24,MATCH($A12,'Power Summary'!$A:$A,0), FALSE), "")</f>
        <v/>
      </c>
      <c r="AH12" s="104">
        <v>38.5</v>
      </c>
      <c r="AI12" s="91" t="str">
        <f>IFERROR(HLOOKUP(AH$2,'Power Summary'!$B$1:$BS$24,MATCH($A12,'Power Summary'!$A:$A,0), FALSE), "")</f>
        <v/>
      </c>
      <c r="AJ12" s="107">
        <v>1.1000000000000001</v>
      </c>
      <c r="AK12" s="92" t="str">
        <f>IFERROR(HLOOKUP(AJ$2,'Power Summary'!$B$1:$BS$24,MATCH($A12,'Power Summary'!$A:$A,0), FALSE), "")</f>
        <v/>
      </c>
      <c r="AL12" s="104">
        <v>38.5</v>
      </c>
      <c r="AM12" s="91" t="str">
        <f>IFERROR(HLOOKUP(AL$2,'Power Summary'!$B$1:$BS$24,MATCH($A12,'Power Summary'!$A:$A,0), FALSE), "")</f>
        <v/>
      </c>
      <c r="AN12" s="107">
        <v>82.5</v>
      </c>
      <c r="AO12" s="92" t="str">
        <f>IFERROR(HLOOKUP(AN$2,'Power Summary'!$B$1:$BS$24,MATCH($A12,'Power Summary'!$A:$A,0), FALSE), "")</f>
        <v/>
      </c>
      <c r="AP12" s="104">
        <v>10</v>
      </c>
      <c r="AQ12" s="91" t="str">
        <f>IFERROR(HLOOKUP(AP$2,'Power Summary'!$B$1:$BS$24,MATCH($A12,'Power Summary'!$A:$A,0), FALSE), "")</f>
        <v/>
      </c>
      <c r="AR12" s="107">
        <v>10</v>
      </c>
      <c r="AS12" s="92" t="str">
        <f>IFERROR(HLOOKUP(AR$2,'Power Summary'!$B$1:$BS$24,MATCH($A12,'Power Summary'!$A:$A,0), FALSE), "")</f>
        <v/>
      </c>
      <c r="AT12" s="104">
        <v>3</v>
      </c>
      <c r="AU12" s="91" t="str">
        <f>IFERROR(HLOOKUP(AT$2,'Power Summary'!$B$1:$BS$24,MATCH($A12,'Power Summary'!$A:$A,0), FALSE), "")</f>
        <v/>
      </c>
      <c r="AV12" s="107">
        <v>3</v>
      </c>
      <c r="AW12" s="92" t="str">
        <f>IFERROR(HLOOKUP(AV$2,'Power Summary'!$B$1:$BS$24,MATCH($A12,'Power Summary'!$A:$A,0), FALSE), "")</f>
        <v/>
      </c>
      <c r="AX12" s="104">
        <v>1</v>
      </c>
      <c r="AY12" s="91" t="str">
        <f>IFERROR(HLOOKUP(AX$2,'Power Summary'!$B$1:$BS$24,MATCH($A12,'Power Summary'!$A:$A,0), FALSE), "")</f>
        <v/>
      </c>
      <c r="AZ12" s="107">
        <v>5.5</v>
      </c>
      <c r="BA12" s="92" t="str">
        <f>IFERROR(HLOOKUP(AZ$2,'Power Summary'!$B$1:$BS$24,MATCH($A12,'Power Summary'!$A:$A,0), FALSE), "")</f>
        <v/>
      </c>
      <c r="BB12" s="104">
        <v>5.5</v>
      </c>
      <c r="BC12" s="111" t="str">
        <f>IFERROR(HLOOKUP(BB$2,'Power Summary'!$B$1:$BS$24,MATCH($A12,'Power Summary'!$A:$A,0), FALSE), "")</f>
        <v/>
      </c>
      <c r="BD12" s="115"/>
      <c r="BE12" s="116"/>
    </row>
    <row r="13" spans="1:57" ht="15" hidden="1" customHeight="1" thickBot="1" x14ac:dyDescent="0.4">
      <c r="A13" s="7" t="s">
        <v>133</v>
      </c>
      <c r="B13" s="104">
        <v>6.5647058823529413E-3</v>
      </c>
      <c r="C13" s="91" t="str">
        <f>IFERROR(HLOOKUP(B$2,'Power Summary'!$B$1:$BS$24,MATCH($A13,'Power Summary'!$A:$A,0), FALSE), "")</f>
        <v/>
      </c>
      <c r="D13" s="107">
        <v>6.5647058823529413E-3</v>
      </c>
      <c r="E13" s="92" t="str">
        <f>IFERROR(HLOOKUP(D$2,'Power Summary'!$B$1:$BS$24,MATCH($A13,'Power Summary'!$A:$A,0), FALSE), "")</f>
        <v/>
      </c>
      <c r="F13" s="104">
        <v>6.5647058823529413E-3</v>
      </c>
      <c r="G13" s="91" t="str">
        <f>IFERROR(HLOOKUP(F$2,'Power Summary'!$B$1:$BS$24,MATCH($A13,'Power Summary'!$A:$A,0), FALSE), "")</f>
        <v/>
      </c>
      <c r="H13" s="107">
        <v>6.5647058823529413E-3</v>
      </c>
      <c r="I13" s="92" t="str">
        <f>IFERROR(HLOOKUP(H$2,'Power Summary'!$B$1:$BS$24,MATCH($A13,'Power Summary'!$A:$A,0), FALSE), "")</f>
        <v/>
      </c>
      <c r="J13" s="104">
        <v>6.5647058823529413E-3</v>
      </c>
      <c r="K13" s="91" t="str">
        <f>IFERROR(HLOOKUP(J$2,'Power Summary'!$B$1:$BS$24,MATCH($A13,'Power Summary'!$A:$A,0), FALSE), "")</f>
        <v/>
      </c>
      <c r="L13" s="107">
        <v>6.5647058823529413E-3</v>
      </c>
      <c r="M13" s="92" t="str">
        <f>IFERROR(HLOOKUP(L$2,'Power Summary'!$B$1:$BS$24,MATCH($A13,'Power Summary'!$A:$A,0), FALSE), "")</f>
        <v/>
      </c>
      <c r="N13" s="104">
        <v>6.5647058823529413E-3</v>
      </c>
      <c r="O13" s="91" t="str">
        <f>IFERROR(HLOOKUP(N$2,'Power Summary'!$B$1:$BS$24,MATCH($A13,'Power Summary'!$A:$A,0), FALSE), "")</f>
        <v/>
      </c>
      <c r="P13" s="107">
        <v>6.5647058823529413E-3</v>
      </c>
      <c r="Q13" s="92" t="str">
        <f>IFERROR(HLOOKUP(P$2,'Power Summary'!$B$1:$BS$24,MATCH($A13,'Power Summary'!$A:$A,0), FALSE), "")</f>
        <v/>
      </c>
      <c r="R13" s="104">
        <v>6.5647058823529413E-3</v>
      </c>
      <c r="S13" s="91" t="str">
        <f>IFERROR(HLOOKUP(R$2,'Power Summary'!$B$1:$BS$24,MATCH($A13,'Power Summary'!$A:$A,0), FALSE), "")</f>
        <v/>
      </c>
      <c r="T13" s="107">
        <v>6.5647058823529413E-3</v>
      </c>
      <c r="U13" s="92" t="str">
        <f>IFERROR(HLOOKUP(T$2,'Power Summary'!$B$1:$BS$24,MATCH($A13,'Power Summary'!$A:$A,0), FALSE), "")</f>
        <v/>
      </c>
      <c r="V13" s="104">
        <v>6.5647058823529413E-3</v>
      </c>
      <c r="W13" s="91" t="str">
        <f>IFERROR(HLOOKUP(V$2,'Power Summary'!$B$1:$BS$24,MATCH($A13,'Power Summary'!$A:$A,0), FALSE), "")</f>
        <v/>
      </c>
      <c r="X13" s="107">
        <v>6.5647058823529413E-3</v>
      </c>
      <c r="Y13" s="92" t="str">
        <f>IFERROR(HLOOKUP(X$2,'Power Summary'!$B$1:$BS$24,MATCH($A13,'Power Summary'!$A:$A,0), FALSE), "")</f>
        <v/>
      </c>
      <c r="Z13" s="104">
        <v>6.5647058823529413E-3</v>
      </c>
      <c r="AA13" s="91" t="str">
        <f>IFERROR(HLOOKUP(Z$2,'Power Summary'!$B$1:$BS$24,MATCH($A13,'Power Summary'!$A:$A,0), FALSE), "")</f>
        <v/>
      </c>
      <c r="AB13" s="107">
        <v>6.5647058823529413E-3</v>
      </c>
      <c r="AC13" s="92" t="str">
        <f>IFERROR(HLOOKUP(AB$2,'Power Summary'!$B$1:$BS$24,MATCH($A13,'Power Summary'!$A:$A,0), FALSE), "")</f>
        <v/>
      </c>
      <c r="AD13" s="104">
        <v>6.5647058823529413E-3</v>
      </c>
      <c r="AE13" s="91" t="str">
        <f>IFERROR(HLOOKUP(AD$2,'Power Summary'!$B$1:$BS$24,MATCH($A13,'Power Summary'!$A:$A,0), FALSE), "")</f>
        <v/>
      </c>
      <c r="AF13" s="107">
        <v>6.5647058823529413E-3</v>
      </c>
      <c r="AG13" s="92" t="str">
        <f>IFERROR(HLOOKUP(AF$2,'Power Summary'!$B$1:$BS$24,MATCH($A13,'Power Summary'!$A:$A,0), FALSE), "")</f>
        <v/>
      </c>
      <c r="AH13" s="104">
        <v>6.5647058823529413E-3</v>
      </c>
      <c r="AI13" s="91" t="str">
        <f>IFERROR(HLOOKUP(AH$2,'Power Summary'!$B$1:$BS$24,MATCH($A13,'Power Summary'!$A:$A,0), FALSE), "")</f>
        <v/>
      </c>
      <c r="AJ13" s="107">
        <v>6.5647058823529413E-3</v>
      </c>
      <c r="AK13" s="92" t="str">
        <f>IFERROR(HLOOKUP(AJ$2,'Power Summary'!$B$1:$BS$24,MATCH($A13,'Power Summary'!$A:$A,0), FALSE), "")</f>
        <v/>
      </c>
      <c r="AL13" s="104">
        <v>6.5647058823529413E-3</v>
      </c>
      <c r="AM13" s="91" t="str">
        <f>IFERROR(HLOOKUP(AL$2,'Power Summary'!$B$1:$BS$24,MATCH($A13,'Power Summary'!$A:$A,0), FALSE), "")</f>
        <v/>
      </c>
      <c r="AN13" s="107">
        <v>6.5647058823529413E-3</v>
      </c>
      <c r="AO13" s="92" t="str">
        <f>IFERROR(HLOOKUP(AN$2,'Power Summary'!$B$1:$BS$24,MATCH($A13,'Power Summary'!$A:$A,0), FALSE), "")</f>
        <v/>
      </c>
      <c r="AP13" s="104">
        <v>6.5647058823529413E-3</v>
      </c>
      <c r="AQ13" s="91" t="str">
        <f>IFERROR(HLOOKUP(AP$2,'Power Summary'!$B$1:$BS$24,MATCH($A13,'Power Summary'!$A:$A,0), FALSE), "")</f>
        <v/>
      </c>
      <c r="AR13" s="107">
        <v>6.5647058823529413E-3</v>
      </c>
      <c r="AS13" s="92" t="str">
        <f>IFERROR(HLOOKUP(AR$2,'Power Summary'!$B$1:$BS$24,MATCH($A13,'Power Summary'!$A:$A,0), FALSE), "")</f>
        <v/>
      </c>
      <c r="AT13" s="104">
        <v>6.5647058823529413E-3</v>
      </c>
      <c r="AU13" s="91" t="str">
        <f>IFERROR(HLOOKUP(AT$2,'Power Summary'!$B$1:$BS$24,MATCH($A13,'Power Summary'!$A:$A,0), FALSE), "")</f>
        <v/>
      </c>
      <c r="AV13" s="107">
        <v>6.5647058823529413E-3</v>
      </c>
      <c r="AW13" s="92" t="str">
        <f>IFERROR(HLOOKUP(AV$2,'Power Summary'!$B$1:$BS$24,MATCH($A13,'Power Summary'!$A:$A,0), FALSE), "")</f>
        <v/>
      </c>
      <c r="AX13" s="104">
        <v>6.5647058823529413E-3</v>
      </c>
      <c r="AY13" s="91" t="str">
        <f>IFERROR(HLOOKUP(AX$2,'Power Summary'!$B$1:$BS$24,MATCH($A13,'Power Summary'!$A:$A,0), FALSE), "")</f>
        <v/>
      </c>
      <c r="AZ13" s="107">
        <v>6.5647058823529413E-3</v>
      </c>
      <c r="BA13" s="92" t="str">
        <f>IFERROR(HLOOKUP(AZ$2,'Power Summary'!$B$1:$BS$24,MATCH($A13,'Power Summary'!$A:$A,0), FALSE), "")</f>
        <v/>
      </c>
      <c r="BB13" s="104">
        <v>6.5647058823529413E-3</v>
      </c>
      <c r="BC13" s="111" t="str">
        <f>IFERROR(HLOOKUP(BB$2,'Power Summary'!$B$1:$BS$24,MATCH($A13,'Power Summary'!$A:$A,0), FALSE), "")</f>
        <v/>
      </c>
      <c r="BD13" s="115"/>
      <c r="BE13" s="116"/>
    </row>
    <row r="14" spans="1:57" ht="15" hidden="1" customHeight="1" thickBot="1" x14ac:dyDescent="0.4">
      <c r="A14" s="7" t="s">
        <v>134</v>
      </c>
      <c r="B14" s="104">
        <v>1E-3</v>
      </c>
      <c r="C14" s="91" t="str">
        <f>IFERROR(HLOOKUP(B$2,'Power Summary'!$B$1:$BS$24,MATCH($A14,'Power Summary'!$A:$A,0), FALSE), "")</f>
        <v/>
      </c>
      <c r="D14" s="107">
        <v>1E-3</v>
      </c>
      <c r="E14" s="92" t="str">
        <f>IFERROR(HLOOKUP(D$2,'Power Summary'!$B$1:$BS$24,MATCH($A14,'Power Summary'!$A:$A,0), FALSE), "")</f>
        <v/>
      </c>
      <c r="F14" s="104">
        <v>1E-3</v>
      </c>
      <c r="G14" s="91" t="str">
        <f>IFERROR(HLOOKUP(F$2,'Power Summary'!$B$1:$BS$24,MATCH($A14,'Power Summary'!$A:$A,0), FALSE), "")</f>
        <v/>
      </c>
      <c r="H14" s="107">
        <v>1E-3</v>
      </c>
      <c r="I14" s="92" t="str">
        <f>IFERROR(HLOOKUP(H$2,'Power Summary'!$B$1:$BS$24,MATCH($A14,'Power Summary'!$A:$A,0), FALSE), "")</f>
        <v/>
      </c>
      <c r="J14" s="104">
        <v>1E-3</v>
      </c>
      <c r="K14" s="91" t="str">
        <f>IFERROR(HLOOKUP(J$2,'Power Summary'!$B$1:$BS$24,MATCH($A14,'Power Summary'!$A:$A,0), FALSE), "")</f>
        <v/>
      </c>
      <c r="L14" s="107">
        <v>1E-3</v>
      </c>
      <c r="M14" s="92" t="str">
        <f>IFERROR(HLOOKUP(L$2,'Power Summary'!$B$1:$BS$24,MATCH($A14,'Power Summary'!$A:$A,0), FALSE), "")</f>
        <v/>
      </c>
      <c r="N14" s="104">
        <v>1E-3</v>
      </c>
      <c r="O14" s="91" t="str">
        <f>IFERROR(HLOOKUP(N$2,'Power Summary'!$B$1:$BS$24,MATCH($A14,'Power Summary'!$A:$A,0), FALSE), "")</f>
        <v/>
      </c>
      <c r="P14" s="107">
        <v>1E-3</v>
      </c>
      <c r="Q14" s="92" t="str">
        <f>IFERROR(HLOOKUP(P$2,'Power Summary'!$B$1:$BS$24,MATCH($A14,'Power Summary'!$A:$A,0), FALSE), "")</f>
        <v/>
      </c>
      <c r="R14" s="104">
        <v>1E-3</v>
      </c>
      <c r="S14" s="91" t="str">
        <f>IFERROR(HLOOKUP(R$2,'Power Summary'!$B$1:$BS$24,MATCH($A14,'Power Summary'!$A:$A,0), FALSE), "")</f>
        <v/>
      </c>
      <c r="T14" s="107">
        <v>1E-3</v>
      </c>
      <c r="U14" s="92" t="str">
        <f>IFERROR(HLOOKUP(T$2,'Power Summary'!$B$1:$BS$24,MATCH($A14,'Power Summary'!$A:$A,0), FALSE), "")</f>
        <v/>
      </c>
      <c r="V14" s="104">
        <v>1E-3</v>
      </c>
      <c r="W14" s="91" t="str">
        <f>IFERROR(HLOOKUP(V$2,'Power Summary'!$B$1:$BS$24,MATCH($A14,'Power Summary'!$A:$A,0), FALSE), "")</f>
        <v/>
      </c>
      <c r="X14" s="107">
        <v>1E-3</v>
      </c>
      <c r="Y14" s="92" t="str">
        <f>IFERROR(HLOOKUP(X$2,'Power Summary'!$B$1:$BS$24,MATCH($A14,'Power Summary'!$A:$A,0), FALSE), "")</f>
        <v/>
      </c>
      <c r="Z14" s="104">
        <v>1E-3</v>
      </c>
      <c r="AA14" s="91" t="str">
        <f>IFERROR(HLOOKUP(Z$2,'Power Summary'!$B$1:$BS$24,MATCH($A14,'Power Summary'!$A:$A,0), FALSE), "")</f>
        <v/>
      </c>
      <c r="AB14" s="107">
        <v>1E-3</v>
      </c>
      <c r="AC14" s="92" t="str">
        <f>IFERROR(HLOOKUP(AB$2,'Power Summary'!$B$1:$BS$24,MATCH($A14,'Power Summary'!$A:$A,0), FALSE), "")</f>
        <v/>
      </c>
      <c r="AD14" s="104">
        <v>1E-3</v>
      </c>
      <c r="AE14" s="91" t="str">
        <f>IFERROR(HLOOKUP(AD$2,'Power Summary'!$B$1:$BS$24,MATCH($A14,'Power Summary'!$A:$A,0), FALSE), "")</f>
        <v/>
      </c>
      <c r="AF14" s="107">
        <v>1E-3</v>
      </c>
      <c r="AG14" s="92" t="str">
        <f>IFERROR(HLOOKUP(AF$2,'Power Summary'!$B$1:$BS$24,MATCH($A14,'Power Summary'!$A:$A,0), FALSE), "")</f>
        <v/>
      </c>
      <c r="AH14" s="104">
        <v>1E-3</v>
      </c>
      <c r="AI14" s="91" t="str">
        <f>IFERROR(HLOOKUP(AH$2,'Power Summary'!$B$1:$BS$24,MATCH($A14,'Power Summary'!$A:$A,0), FALSE), "")</f>
        <v/>
      </c>
      <c r="AJ14" s="107">
        <v>1E-3</v>
      </c>
      <c r="AK14" s="92" t="str">
        <f>IFERROR(HLOOKUP(AJ$2,'Power Summary'!$B$1:$BS$24,MATCH($A14,'Power Summary'!$A:$A,0), FALSE), "")</f>
        <v/>
      </c>
      <c r="AL14" s="104">
        <v>1E-3</v>
      </c>
      <c r="AM14" s="91" t="str">
        <f>IFERROR(HLOOKUP(AL$2,'Power Summary'!$B$1:$BS$24,MATCH($A14,'Power Summary'!$A:$A,0), FALSE), "")</f>
        <v/>
      </c>
      <c r="AN14" s="107">
        <v>1E-3</v>
      </c>
      <c r="AO14" s="92" t="str">
        <f>IFERROR(HLOOKUP(AN$2,'Power Summary'!$B$1:$BS$24,MATCH($A14,'Power Summary'!$A:$A,0), FALSE), "")</f>
        <v/>
      </c>
      <c r="AP14" s="104">
        <v>1E-3</v>
      </c>
      <c r="AQ14" s="91" t="str">
        <f>IFERROR(HLOOKUP(AP$2,'Power Summary'!$B$1:$BS$24,MATCH($A14,'Power Summary'!$A:$A,0), FALSE), "")</f>
        <v/>
      </c>
      <c r="AR14" s="107">
        <v>1E-3</v>
      </c>
      <c r="AS14" s="92" t="str">
        <f>IFERROR(HLOOKUP(AR$2,'Power Summary'!$B$1:$BS$24,MATCH($A14,'Power Summary'!$A:$A,0), FALSE), "")</f>
        <v/>
      </c>
      <c r="AT14" s="104">
        <v>1E-3</v>
      </c>
      <c r="AU14" s="91" t="str">
        <f>IFERROR(HLOOKUP(AT$2,'Power Summary'!$B$1:$BS$24,MATCH($A14,'Power Summary'!$A:$A,0), FALSE), "")</f>
        <v/>
      </c>
      <c r="AV14" s="107">
        <v>1E-3</v>
      </c>
      <c r="AW14" s="92" t="str">
        <f>IFERROR(HLOOKUP(AV$2,'Power Summary'!$B$1:$BS$24,MATCH($A14,'Power Summary'!$A:$A,0), FALSE), "")</f>
        <v/>
      </c>
      <c r="AX14" s="104">
        <v>1E-3</v>
      </c>
      <c r="AY14" s="91" t="str">
        <f>IFERROR(HLOOKUP(AX$2,'Power Summary'!$B$1:$BS$24,MATCH($A14,'Power Summary'!$A:$A,0), FALSE), "")</f>
        <v/>
      </c>
      <c r="AZ14" s="107">
        <v>1E-3</v>
      </c>
      <c r="BA14" s="92" t="str">
        <f>IFERROR(HLOOKUP(AZ$2,'Power Summary'!$B$1:$BS$24,MATCH($A14,'Power Summary'!$A:$A,0), FALSE), "")</f>
        <v/>
      </c>
      <c r="BB14" s="104">
        <v>1E-3</v>
      </c>
      <c r="BC14" s="111" t="str">
        <f>IFERROR(HLOOKUP(BB$2,'Power Summary'!$B$1:$BS$24,MATCH($A14,'Power Summary'!$A:$A,0), FALSE), "")</f>
        <v/>
      </c>
      <c r="BD14" s="115"/>
      <c r="BE14" s="116"/>
    </row>
    <row r="15" spans="1:57" ht="15" hidden="1" customHeight="1" thickBot="1" x14ac:dyDescent="0.4">
      <c r="A15" s="7" t="s">
        <v>127</v>
      </c>
      <c r="B15" s="104">
        <v>3.5294117647058818</v>
      </c>
      <c r="C15" s="91" t="str">
        <f>IFERROR(HLOOKUP(B$2,'Power Summary'!$B$1:$BS$24,MATCH($A15,'Power Summary'!$A:$A,0), FALSE), "")</f>
        <v/>
      </c>
      <c r="D15" s="107">
        <v>3.5294117647058818</v>
      </c>
      <c r="E15" s="92" t="str">
        <f>IFERROR(HLOOKUP(D$2,'Power Summary'!$B$1:$BS$24,MATCH($A15,'Power Summary'!$A:$A,0), FALSE), "")</f>
        <v/>
      </c>
      <c r="F15" s="104">
        <v>3.5294117647058818</v>
      </c>
      <c r="G15" s="91" t="str">
        <f>IFERROR(HLOOKUP(F$2,'Power Summary'!$B$1:$BS$24,MATCH($A15,'Power Summary'!$A:$A,0), FALSE), "")</f>
        <v/>
      </c>
      <c r="H15" s="107">
        <v>3.5294117647058818</v>
      </c>
      <c r="I15" s="92" t="str">
        <f>IFERROR(HLOOKUP(H$2,'Power Summary'!$B$1:$BS$24,MATCH($A15,'Power Summary'!$A:$A,0), FALSE), "")</f>
        <v/>
      </c>
      <c r="J15" s="104">
        <v>3.5294117647058818</v>
      </c>
      <c r="K15" s="91" t="str">
        <f>IFERROR(HLOOKUP(J$2,'Power Summary'!$B$1:$BS$24,MATCH($A15,'Power Summary'!$A:$A,0), FALSE), "")</f>
        <v/>
      </c>
      <c r="L15" s="107">
        <v>3.5294117647058818</v>
      </c>
      <c r="M15" s="92" t="str">
        <f>IFERROR(HLOOKUP(L$2,'Power Summary'!$B$1:$BS$24,MATCH($A15,'Power Summary'!$A:$A,0), FALSE), "")</f>
        <v/>
      </c>
      <c r="N15" s="104">
        <v>3.5294117647058818</v>
      </c>
      <c r="O15" s="91" t="str">
        <f>IFERROR(HLOOKUP(N$2,'Power Summary'!$B$1:$BS$24,MATCH($A15,'Power Summary'!$A:$A,0), FALSE), "")</f>
        <v/>
      </c>
      <c r="P15" s="107">
        <v>3.5294117647058818</v>
      </c>
      <c r="Q15" s="92" t="str">
        <f>IFERROR(HLOOKUP(P$2,'Power Summary'!$B$1:$BS$24,MATCH($A15,'Power Summary'!$A:$A,0), FALSE), "")</f>
        <v/>
      </c>
      <c r="R15" s="104">
        <v>3.5294117647058818</v>
      </c>
      <c r="S15" s="91" t="str">
        <f>IFERROR(HLOOKUP(R$2,'Power Summary'!$B$1:$BS$24,MATCH($A15,'Power Summary'!$A:$A,0), FALSE), "")</f>
        <v/>
      </c>
      <c r="T15" s="107">
        <v>3.5294117647058818</v>
      </c>
      <c r="U15" s="92" t="str">
        <f>IFERROR(HLOOKUP(T$2,'Power Summary'!$B$1:$BS$24,MATCH($A15,'Power Summary'!$A:$A,0), FALSE), "")</f>
        <v/>
      </c>
      <c r="V15" s="104">
        <v>3.5294117647058818</v>
      </c>
      <c r="W15" s="91" t="str">
        <f>IFERROR(HLOOKUP(V$2,'Power Summary'!$B$1:$BS$24,MATCH($A15,'Power Summary'!$A:$A,0), FALSE), "")</f>
        <v/>
      </c>
      <c r="X15" s="107">
        <v>3.5294117647058818</v>
      </c>
      <c r="Y15" s="92" t="str">
        <f>IFERROR(HLOOKUP(X$2,'Power Summary'!$B$1:$BS$24,MATCH($A15,'Power Summary'!$A:$A,0), FALSE), "")</f>
        <v/>
      </c>
      <c r="Z15" s="104">
        <v>3.5294117647058818</v>
      </c>
      <c r="AA15" s="91" t="str">
        <f>IFERROR(HLOOKUP(Z$2,'Power Summary'!$B$1:$BS$24,MATCH($A15,'Power Summary'!$A:$A,0), FALSE), "")</f>
        <v/>
      </c>
      <c r="AB15" s="107">
        <v>3.5294117647058818</v>
      </c>
      <c r="AC15" s="92" t="str">
        <f>IFERROR(HLOOKUP(AB$2,'Power Summary'!$B$1:$BS$24,MATCH($A15,'Power Summary'!$A:$A,0), FALSE), "")</f>
        <v/>
      </c>
      <c r="AD15" s="104">
        <v>3.5294117647058818</v>
      </c>
      <c r="AE15" s="91" t="str">
        <f>IFERROR(HLOOKUP(AD$2,'Power Summary'!$B$1:$BS$24,MATCH($A15,'Power Summary'!$A:$A,0), FALSE), "")</f>
        <v/>
      </c>
      <c r="AF15" s="107">
        <v>4.7058823529411766</v>
      </c>
      <c r="AG15" s="92" t="str">
        <f>IFERROR(HLOOKUP(AF$2,'Power Summary'!$B$1:$BS$24,MATCH($A15,'Power Summary'!$A:$A,0), FALSE), "")</f>
        <v/>
      </c>
      <c r="AH15" s="104">
        <v>3.5294117647058818</v>
      </c>
      <c r="AI15" s="91" t="str">
        <f>IFERROR(HLOOKUP(AH$2,'Power Summary'!$B$1:$BS$24,MATCH($A15,'Power Summary'!$A:$A,0), FALSE), "")</f>
        <v/>
      </c>
      <c r="AJ15" s="107">
        <v>3.5294117647058818</v>
      </c>
      <c r="AK15" s="92" t="str">
        <f>IFERROR(HLOOKUP(AJ$2,'Power Summary'!$B$1:$BS$24,MATCH($A15,'Power Summary'!$A:$A,0), FALSE), "")</f>
        <v/>
      </c>
      <c r="AL15" s="104">
        <v>3.5294117647058818</v>
      </c>
      <c r="AM15" s="91" t="str">
        <f>IFERROR(HLOOKUP(AL$2,'Power Summary'!$B$1:$BS$24,MATCH($A15,'Power Summary'!$A:$A,0), FALSE), "")</f>
        <v/>
      </c>
      <c r="AN15" s="107">
        <v>3.5294117647058818</v>
      </c>
      <c r="AO15" s="92" t="str">
        <f>IFERROR(HLOOKUP(AN$2,'Power Summary'!$B$1:$BS$24,MATCH($A15,'Power Summary'!$A:$A,0), FALSE), "")</f>
        <v/>
      </c>
      <c r="AP15" s="104">
        <v>2.4167058823529421</v>
      </c>
      <c r="AQ15" s="91" t="str">
        <f>IFERROR(HLOOKUP(AP$2,'Power Summary'!$B$1:$BS$24,MATCH($A15,'Power Summary'!$A:$A,0), FALSE), "")</f>
        <v/>
      </c>
      <c r="AR15" s="107">
        <v>2.4167058823529421</v>
      </c>
      <c r="AS15" s="92" t="str">
        <f>IFERROR(HLOOKUP(AR$2,'Power Summary'!$B$1:$BS$24,MATCH($A15,'Power Summary'!$A:$A,0), FALSE), "")</f>
        <v/>
      </c>
      <c r="AT15" s="104">
        <v>2.4167058823529421</v>
      </c>
      <c r="AU15" s="91" t="str">
        <f>IFERROR(HLOOKUP(AT$2,'Power Summary'!$B$1:$BS$24,MATCH($A15,'Power Summary'!$A:$A,0), FALSE), "")</f>
        <v/>
      </c>
      <c r="AV15" s="107">
        <v>2.4167058823529421</v>
      </c>
      <c r="AW15" s="92" t="str">
        <f>IFERROR(HLOOKUP(AV$2,'Power Summary'!$B$1:$BS$24,MATCH($A15,'Power Summary'!$A:$A,0), FALSE), "")</f>
        <v/>
      </c>
      <c r="AX15" s="104">
        <v>2.4167058823529421</v>
      </c>
      <c r="AY15" s="91" t="str">
        <f>IFERROR(HLOOKUP(AX$2,'Power Summary'!$B$1:$BS$24,MATCH($A15,'Power Summary'!$A:$A,0), FALSE), "")</f>
        <v/>
      </c>
      <c r="AZ15" s="107">
        <v>3.5294117647058818</v>
      </c>
      <c r="BA15" s="92" t="str">
        <f>IFERROR(HLOOKUP(AZ$2,'Power Summary'!$B$1:$BS$24,MATCH($A15,'Power Summary'!$A:$A,0), FALSE), "")</f>
        <v/>
      </c>
      <c r="BB15" s="104">
        <v>3.5294117647058818</v>
      </c>
      <c r="BC15" s="111" t="str">
        <f>IFERROR(HLOOKUP(BB$2,'Power Summary'!$B$1:$BS$24,MATCH($A15,'Power Summary'!$A:$A,0), FALSE), "")</f>
        <v/>
      </c>
      <c r="BD15" s="115"/>
      <c r="BE15" s="116"/>
    </row>
    <row r="16" spans="1:57" ht="15" hidden="1" customHeight="1" thickBot="1" x14ac:dyDescent="0.4">
      <c r="A16" s="7" t="s">
        <v>135</v>
      </c>
      <c r="B16" s="104">
        <v>0.16094117647058831</v>
      </c>
      <c r="C16" s="91" t="str">
        <f>IFERROR(HLOOKUP(B$2,'Power Summary'!$B$1:$BS$24,MATCH($A16,'Power Summary'!$A:$A,0), FALSE), "")</f>
        <v/>
      </c>
      <c r="D16" s="107">
        <v>0.16094117647058831</v>
      </c>
      <c r="E16" s="92" t="str">
        <f>IFERROR(HLOOKUP(D$2,'Power Summary'!$B$1:$BS$24,MATCH($A16,'Power Summary'!$A:$A,0), FALSE), "")</f>
        <v/>
      </c>
      <c r="F16" s="104">
        <v>0.16094117647058831</v>
      </c>
      <c r="G16" s="91" t="str">
        <f>IFERROR(HLOOKUP(F$2,'Power Summary'!$B$1:$BS$24,MATCH($A16,'Power Summary'!$A:$A,0), FALSE), "")</f>
        <v/>
      </c>
      <c r="H16" s="107">
        <v>0.16094117647058831</v>
      </c>
      <c r="I16" s="92" t="str">
        <f>IFERROR(HLOOKUP(H$2,'Power Summary'!$B$1:$BS$24,MATCH($A16,'Power Summary'!$A:$A,0), FALSE), "")</f>
        <v/>
      </c>
      <c r="J16" s="104">
        <v>0.16094117647058831</v>
      </c>
      <c r="K16" s="91" t="str">
        <f>IFERROR(HLOOKUP(J$2,'Power Summary'!$B$1:$BS$24,MATCH($A16,'Power Summary'!$A:$A,0), FALSE), "")</f>
        <v/>
      </c>
      <c r="L16" s="107">
        <v>0.16094117647058831</v>
      </c>
      <c r="M16" s="92" t="str">
        <f>IFERROR(HLOOKUP(L$2,'Power Summary'!$B$1:$BS$24,MATCH($A16,'Power Summary'!$A:$A,0), FALSE), "")</f>
        <v/>
      </c>
      <c r="N16" s="104">
        <v>0.16094117647058831</v>
      </c>
      <c r="O16" s="91" t="str">
        <f>IFERROR(HLOOKUP(N$2,'Power Summary'!$B$1:$BS$24,MATCH($A16,'Power Summary'!$A:$A,0), FALSE), "")</f>
        <v/>
      </c>
      <c r="P16" s="107">
        <v>0.16094117647058831</v>
      </c>
      <c r="Q16" s="92" t="str">
        <f>IFERROR(HLOOKUP(P$2,'Power Summary'!$B$1:$BS$24,MATCH($A16,'Power Summary'!$A:$A,0), FALSE), "")</f>
        <v/>
      </c>
      <c r="R16" s="104">
        <v>0.16094117647058831</v>
      </c>
      <c r="S16" s="91" t="str">
        <f>IFERROR(HLOOKUP(R$2,'Power Summary'!$B$1:$BS$24,MATCH($A16,'Power Summary'!$A:$A,0), FALSE), "")</f>
        <v/>
      </c>
      <c r="T16" s="107">
        <v>0.16094117647058831</v>
      </c>
      <c r="U16" s="92" t="str">
        <f>IFERROR(HLOOKUP(T$2,'Power Summary'!$B$1:$BS$24,MATCH($A16,'Power Summary'!$A:$A,0), FALSE), "")</f>
        <v/>
      </c>
      <c r="V16" s="104">
        <v>0.16094117647058831</v>
      </c>
      <c r="W16" s="91" t="str">
        <f>IFERROR(HLOOKUP(V$2,'Power Summary'!$B$1:$BS$24,MATCH($A16,'Power Summary'!$A:$A,0), FALSE), "")</f>
        <v/>
      </c>
      <c r="X16" s="107">
        <v>0.16094117647058831</v>
      </c>
      <c r="Y16" s="92" t="str">
        <f>IFERROR(HLOOKUP(X$2,'Power Summary'!$B$1:$BS$24,MATCH($A16,'Power Summary'!$A:$A,0), FALSE), "")</f>
        <v/>
      </c>
      <c r="Z16" s="104">
        <v>0.16094117647058831</v>
      </c>
      <c r="AA16" s="91" t="str">
        <f>IFERROR(HLOOKUP(Z$2,'Power Summary'!$B$1:$BS$24,MATCH($A16,'Power Summary'!$A:$A,0), FALSE), "")</f>
        <v/>
      </c>
      <c r="AB16" s="107">
        <v>0.16094117647058831</v>
      </c>
      <c r="AC16" s="92" t="str">
        <f>IFERROR(HLOOKUP(AB$2,'Power Summary'!$B$1:$BS$24,MATCH($A16,'Power Summary'!$A:$A,0), FALSE), "")</f>
        <v/>
      </c>
      <c r="AD16" s="104">
        <v>0.16094117647058831</v>
      </c>
      <c r="AE16" s="91" t="str">
        <f>IFERROR(HLOOKUP(AD$2,'Power Summary'!$B$1:$BS$24,MATCH($A16,'Power Summary'!$A:$A,0), FALSE), "")</f>
        <v/>
      </c>
      <c r="AF16" s="107">
        <v>0.16094117647058831</v>
      </c>
      <c r="AG16" s="92" t="str">
        <f>IFERROR(HLOOKUP(AF$2,'Power Summary'!$B$1:$BS$24,MATCH($A16,'Power Summary'!$A:$A,0), FALSE), "")</f>
        <v/>
      </c>
      <c r="AH16" s="104">
        <v>0.16094117647058831</v>
      </c>
      <c r="AI16" s="91" t="str">
        <f>IFERROR(HLOOKUP(AH$2,'Power Summary'!$B$1:$BS$24,MATCH($A16,'Power Summary'!$A:$A,0), FALSE), "")</f>
        <v/>
      </c>
      <c r="AJ16" s="107">
        <v>0.16094117647058831</v>
      </c>
      <c r="AK16" s="92" t="str">
        <f>IFERROR(HLOOKUP(AJ$2,'Power Summary'!$B$1:$BS$24,MATCH($A16,'Power Summary'!$A:$A,0), FALSE), "")</f>
        <v/>
      </c>
      <c r="AL16" s="104">
        <v>0.16094117647058831</v>
      </c>
      <c r="AM16" s="91" t="str">
        <f>IFERROR(HLOOKUP(AL$2,'Power Summary'!$B$1:$BS$24,MATCH($A16,'Power Summary'!$A:$A,0), FALSE), "")</f>
        <v/>
      </c>
      <c r="AN16" s="107">
        <v>0.16094117647058831</v>
      </c>
      <c r="AO16" s="92" t="str">
        <f>IFERROR(HLOOKUP(AN$2,'Power Summary'!$B$1:$BS$24,MATCH($A16,'Power Summary'!$A:$A,0), FALSE), "")</f>
        <v/>
      </c>
      <c r="AP16" s="104">
        <v>1.6941176470588241E-2</v>
      </c>
      <c r="AQ16" s="91" t="str">
        <f>IFERROR(HLOOKUP(AP$2,'Power Summary'!$B$1:$BS$24,MATCH($A16,'Power Summary'!$A:$A,0), FALSE), "")</f>
        <v/>
      </c>
      <c r="AR16" s="107">
        <v>1.6941176470588241E-2</v>
      </c>
      <c r="AS16" s="92" t="str">
        <f>IFERROR(HLOOKUP(AR$2,'Power Summary'!$B$1:$BS$24,MATCH($A16,'Power Summary'!$A:$A,0), FALSE), "")</f>
        <v/>
      </c>
      <c r="AT16" s="104">
        <v>1.6941176470588241E-2</v>
      </c>
      <c r="AU16" s="91" t="str">
        <f>IFERROR(HLOOKUP(AT$2,'Power Summary'!$B$1:$BS$24,MATCH($A16,'Power Summary'!$A:$A,0), FALSE), "")</f>
        <v/>
      </c>
      <c r="AV16" s="107">
        <v>1.6941176470588241E-2</v>
      </c>
      <c r="AW16" s="92" t="str">
        <f>IFERROR(HLOOKUP(AV$2,'Power Summary'!$B$1:$BS$24,MATCH($A16,'Power Summary'!$A:$A,0), FALSE), "")</f>
        <v/>
      </c>
      <c r="AX16" s="104">
        <v>1.6941176470588241E-2</v>
      </c>
      <c r="AY16" s="91" t="str">
        <f>IFERROR(HLOOKUP(AX$2,'Power Summary'!$B$1:$BS$24,MATCH($A16,'Power Summary'!$A:$A,0), FALSE), "")</f>
        <v/>
      </c>
      <c r="AZ16" s="107">
        <v>0.16094117647058831</v>
      </c>
      <c r="BA16" s="92" t="str">
        <f>IFERROR(HLOOKUP(AZ$2,'Power Summary'!$B$1:$BS$24,MATCH($A16,'Power Summary'!$A:$A,0), FALSE), "")</f>
        <v/>
      </c>
      <c r="BB16" s="104">
        <v>0.16094117647058831</v>
      </c>
      <c r="BC16" s="111" t="str">
        <f>IFERROR(HLOOKUP(BB$2,'Power Summary'!$B$1:$BS$24,MATCH($A16,'Power Summary'!$A:$A,0), FALSE), "")</f>
        <v/>
      </c>
      <c r="BD16" s="115"/>
      <c r="BE16" s="116"/>
    </row>
    <row r="17" spans="1:57" ht="15" hidden="1" customHeight="1" thickBot="1" x14ac:dyDescent="0.4">
      <c r="A17" s="7" t="s">
        <v>136</v>
      </c>
      <c r="B17" s="104">
        <v>4.7058823529411769E-3</v>
      </c>
      <c r="C17" s="91" t="str">
        <f>IFERROR(HLOOKUP(B$2,'Power Summary'!$B$1:$BS$24,MATCH($A17,'Power Summary'!$A:$A,0), FALSE), "")</f>
        <v/>
      </c>
      <c r="D17" s="107">
        <v>4.7058823529411769E-3</v>
      </c>
      <c r="E17" s="92" t="str">
        <f>IFERROR(HLOOKUP(D$2,'Power Summary'!$B$1:$BS$24,MATCH($A17,'Power Summary'!$A:$A,0), FALSE), "")</f>
        <v/>
      </c>
      <c r="F17" s="104">
        <v>4.7058823529411769E-3</v>
      </c>
      <c r="G17" s="91" t="str">
        <f>IFERROR(HLOOKUP(F$2,'Power Summary'!$B$1:$BS$24,MATCH($A17,'Power Summary'!$A:$A,0), FALSE), "")</f>
        <v/>
      </c>
      <c r="H17" s="107">
        <v>4.7058823529411769E-3</v>
      </c>
      <c r="I17" s="92" t="str">
        <f>IFERROR(HLOOKUP(H$2,'Power Summary'!$B$1:$BS$24,MATCH($A17,'Power Summary'!$A:$A,0), FALSE), "")</f>
        <v/>
      </c>
      <c r="J17" s="104">
        <v>4.7058823529411769E-3</v>
      </c>
      <c r="K17" s="91" t="str">
        <f>IFERROR(HLOOKUP(J$2,'Power Summary'!$B$1:$BS$24,MATCH($A17,'Power Summary'!$A:$A,0), FALSE), "")</f>
        <v/>
      </c>
      <c r="L17" s="107">
        <v>4.7058823529411769E-3</v>
      </c>
      <c r="M17" s="92" t="str">
        <f>IFERROR(HLOOKUP(L$2,'Power Summary'!$B$1:$BS$24,MATCH($A17,'Power Summary'!$A:$A,0), FALSE), "")</f>
        <v/>
      </c>
      <c r="N17" s="104">
        <v>4.7058823529411769E-3</v>
      </c>
      <c r="O17" s="91" t="str">
        <f>IFERROR(HLOOKUP(N$2,'Power Summary'!$B$1:$BS$24,MATCH($A17,'Power Summary'!$A:$A,0), FALSE), "")</f>
        <v/>
      </c>
      <c r="P17" s="107">
        <v>4.7058823529411769E-3</v>
      </c>
      <c r="Q17" s="92" t="str">
        <f>IFERROR(HLOOKUP(P$2,'Power Summary'!$B$1:$BS$24,MATCH($A17,'Power Summary'!$A:$A,0), FALSE), "")</f>
        <v/>
      </c>
      <c r="R17" s="104">
        <v>4.7058823529411769E-3</v>
      </c>
      <c r="S17" s="91" t="str">
        <f>IFERROR(HLOOKUP(R$2,'Power Summary'!$B$1:$BS$24,MATCH($A17,'Power Summary'!$A:$A,0), FALSE), "")</f>
        <v/>
      </c>
      <c r="T17" s="107">
        <v>4.7058823529411769E-3</v>
      </c>
      <c r="U17" s="92" t="str">
        <f>IFERROR(HLOOKUP(T$2,'Power Summary'!$B$1:$BS$24,MATCH($A17,'Power Summary'!$A:$A,0), FALSE), "")</f>
        <v/>
      </c>
      <c r="V17" s="104">
        <v>4.7058823529411769E-3</v>
      </c>
      <c r="W17" s="91" t="str">
        <f>IFERROR(HLOOKUP(V$2,'Power Summary'!$B$1:$BS$24,MATCH($A17,'Power Summary'!$A:$A,0), FALSE), "")</f>
        <v/>
      </c>
      <c r="X17" s="107">
        <v>4.7058823529411769E-3</v>
      </c>
      <c r="Y17" s="92" t="str">
        <f>IFERROR(HLOOKUP(X$2,'Power Summary'!$B$1:$BS$24,MATCH($A17,'Power Summary'!$A:$A,0), FALSE), "")</f>
        <v/>
      </c>
      <c r="Z17" s="104">
        <v>4.7058823529411769E-3</v>
      </c>
      <c r="AA17" s="91" t="str">
        <f>IFERROR(HLOOKUP(Z$2,'Power Summary'!$B$1:$BS$24,MATCH($A17,'Power Summary'!$A:$A,0), FALSE), "")</f>
        <v/>
      </c>
      <c r="AB17" s="107">
        <v>4.7058823529411769E-3</v>
      </c>
      <c r="AC17" s="92" t="str">
        <f>IFERROR(HLOOKUP(AB$2,'Power Summary'!$B$1:$BS$24,MATCH($A17,'Power Summary'!$A:$A,0), FALSE), "")</f>
        <v/>
      </c>
      <c r="AD17" s="104">
        <v>4.7058823529411769E-3</v>
      </c>
      <c r="AE17" s="91" t="str">
        <f>IFERROR(HLOOKUP(AD$2,'Power Summary'!$B$1:$BS$24,MATCH($A17,'Power Summary'!$A:$A,0), FALSE), "")</f>
        <v/>
      </c>
      <c r="AF17" s="107">
        <v>4.7058823529411769E-3</v>
      </c>
      <c r="AG17" s="92" t="str">
        <f>IFERROR(HLOOKUP(AF$2,'Power Summary'!$B$1:$BS$24,MATCH($A17,'Power Summary'!$A:$A,0), FALSE), "")</f>
        <v/>
      </c>
      <c r="AH17" s="104">
        <v>4.7058823529411769E-3</v>
      </c>
      <c r="AI17" s="91" t="str">
        <f>IFERROR(HLOOKUP(AH$2,'Power Summary'!$B$1:$BS$24,MATCH($A17,'Power Summary'!$A:$A,0), FALSE), "")</f>
        <v/>
      </c>
      <c r="AJ17" s="107">
        <v>4.7058823529411769E-3</v>
      </c>
      <c r="AK17" s="92" t="str">
        <f>IFERROR(HLOOKUP(AJ$2,'Power Summary'!$B$1:$BS$24,MATCH($A17,'Power Summary'!$A:$A,0), FALSE), "")</f>
        <v/>
      </c>
      <c r="AL17" s="104">
        <v>4.7058823529411769E-3</v>
      </c>
      <c r="AM17" s="91" t="str">
        <f>IFERROR(HLOOKUP(AL$2,'Power Summary'!$B$1:$BS$24,MATCH($A17,'Power Summary'!$A:$A,0), FALSE), "")</f>
        <v/>
      </c>
      <c r="AN17" s="107">
        <v>4.7058823529411769E-3</v>
      </c>
      <c r="AO17" s="92" t="str">
        <f>IFERROR(HLOOKUP(AN$2,'Power Summary'!$B$1:$BS$24,MATCH($A17,'Power Summary'!$A:$A,0), FALSE), "")</f>
        <v/>
      </c>
      <c r="AP17" s="104">
        <v>4.7058823529411769E-3</v>
      </c>
      <c r="AQ17" s="91" t="str">
        <f>IFERROR(HLOOKUP(AP$2,'Power Summary'!$B$1:$BS$24,MATCH($A17,'Power Summary'!$A:$A,0), FALSE), "")</f>
        <v/>
      </c>
      <c r="AR17" s="107">
        <v>4.7058823529411769E-3</v>
      </c>
      <c r="AS17" s="92" t="str">
        <f>IFERROR(HLOOKUP(AR$2,'Power Summary'!$B$1:$BS$24,MATCH($A17,'Power Summary'!$A:$A,0), FALSE), "")</f>
        <v/>
      </c>
      <c r="AT17" s="104">
        <v>4.7058823529411769E-3</v>
      </c>
      <c r="AU17" s="91" t="str">
        <f>IFERROR(HLOOKUP(AT$2,'Power Summary'!$B$1:$BS$24,MATCH($A17,'Power Summary'!$A:$A,0), FALSE), "")</f>
        <v/>
      </c>
      <c r="AV17" s="107">
        <v>4.7058823529411769E-3</v>
      </c>
      <c r="AW17" s="92" t="str">
        <f>IFERROR(HLOOKUP(AV$2,'Power Summary'!$B$1:$BS$24,MATCH($A17,'Power Summary'!$A:$A,0), FALSE), "")</f>
        <v/>
      </c>
      <c r="AX17" s="104">
        <v>4.7058823529411769E-3</v>
      </c>
      <c r="AY17" s="91" t="str">
        <f>IFERROR(HLOOKUP(AX$2,'Power Summary'!$B$1:$BS$24,MATCH($A17,'Power Summary'!$A:$A,0), FALSE), "")</f>
        <v/>
      </c>
      <c r="AZ17" s="107">
        <v>4.7058823529411769E-3</v>
      </c>
      <c r="BA17" s="92" t="str">
        <f>IFERROR(HLOOKUP(AZ$2,'Power Summary'!$B$1:$BS$24,MATCH($A17,'Power Summary'!$A:$A,0), FALSE), "")</f>
        <v/>
      </c>
      <c r="BB17" s="104">
        <v>4.7058823529411769E-3</v>
      </c>
      <c r="BC17" s="111" t="str">
        <f>IFERROR(HLOOKUP(BB$2,'Power Summary'!$B$1:$BS$24,MATCH($A17,'Power Summary'!$A:$A,0), FALSE), "")</f>
        <v/>
      </c>
      <c r="BD17" s="115"/>
      <c r="BE17" s="116"/>
    </row>
    <row r="18" spans="1:57" ht="15" customHeight="1" thickBot="1" x14ac:dyDescent="0.4">
      <c r="A18" s="7" t="s">
        <v>128</v>
      </c>
      <c r="B18" s="104">
        <f>B19-SUBTOTAL(109, B4:B17)</f>
        <v>23.457548649947512</v>
      </c>
      <c r="C18" s="91" t="str">
        <f>IFERROR(HLOOKUP(B$2,'Power Summary'!$B$1:$BS$24,MATCH($A18,'Power Summary'!$A:$A,0), FALSE), "")</f>
        <v/>
      </c>
      <c r="D18" s="107">
        <f>D19-SUBTOTAL(109, D4:D17)</f>
        <v>18.784929005866388</v>
      </c>
      <c r="E18" s="92" t="str">
        <f>IFERROR(HLOOKUP(D$2,'Power Summary'!$B$1:$BS$24,MATCH($A18,'Power Summary'!$A:$A,0), FALSE), "")</f>
        <v/>
      </c>
      <c r="F18" s="104">
        <f>F19-SUBTOTAL(109, F4:F17)</f>
        <v>24.619081752253805</v>
      </c>
      <c r="G18" s="91" t="str">
        <f>IFERROR(HLOOKUP(F$2,'Power Summary'!$B$1:$BS$24,MATCH($A18,'Power Summary'!$A:$A,0), FALSE), "")</f>
        <v/>
      </c>
      <c r="H18" s="107">
        <f>H19-SUBTOTAL(109, H4:H17)</f>
        <v>24.332449134941271</v>
      </c>
      <c r="I18" s="92" t="str">
        <f>IFERROR(HLOOKUP(H$2,'Power Summary'!$B$1:$BS$24,MATCH($A18,'Power Summary'!$A:$A,0), FALSE), "")</f>
        <v/>
      </c>
      <c r="J18" s="104">
        <f>J19-SUBTOTAL(109, J4:J17)</f>
        <v>23.360849234707985</v>
      </c>
      <c r="K18" s="91" t="str">
        <f>IFERROR(HLOOKUP(J$2,'Power Summary'!$B$1:$BS$24,MATCH($A18,'Power Summary'!$A:$A,0), FALSE), "")</f>
        <v/>
      </c>
      <c r="L18" s="107">
        <f>L19-SUBTOTAL(109, L4:L17)</f>
        <v>17.483842744814865</v>
      </c>
      <c r="M18" s="92" t="str">
        <f>IFERROR(HLOOKUP(L$2,'Power Summary'!$B$1:$BS$24,MATCH($A18,'Power Summary'!$A:$A,0), FALSE), "")</f>
        <v/>
      </c>
      <c r="N18" s="104">
        <f>N19-SUBTOTAL(109, N4:N17)</f>
        <v>16.998800277245095</v>
      </c>
      <c r="O18" s="91" t="str">
        <f>IFERROR(HLOOKUP(N$2,'Power Summary'!$B$1:$BS$24,MATCH($A18,'Power Summary'!$A:$A,0), FALSE), "")</f>
        <v/>
      </c>
      <c r="P18" s="107">
        <f>P19-SUBTOTAL(109, P4:P17)</f>
        <v>18.188690618632563</v>
      </c>
      <c r="Q18" s="92" t="str">
        <f>IFERROR(HLOOKUP(P$2,'Power Summary'!$B$1:$BS$24,MATCH($A18,'Power Summary'!$A:$A,0), FALSE), "")</f>
        <v/>
      </c>
      <c r="R18" s="104">
        <f>R19-SUBTOTAL(109, R4:R17)</f>
        <v>17.56626739772355</v>
      </c>
      <c r="S18" s="91" t="str">
        <f>IFERROR(HLOOKUP(R$2,'Power Summary'!$B$1:$BS$24,MATCH($A18,'Power Summary'!$A:$A,0), FALSE), "")</f>
        <v/>
      </c>
      <c r="T18" s="107">
        <f>T19-SUBTOTAL(109, T4:T17)</f>
        <v>21.535025234234581</v>
      </c>
      <c r="U18" s="92" t="str">
        <f>IFERROR(HLOOKUP(T$2,'Power Summary'!$B$1:$BS$24,MATCH($A18,'Power Summary'!$A:$A,0), FALSE), "")</f>
        <v/>
      </c>
      <c r="V18" s="104">
        <f>V19-SUBTOTAL(109, V4:V17)</f>
        <v>19.852662846062572</v>
      </c>
      <c r="W18" s="91" t="str">
        <f>IFERROR(HLOOKUP(V$2,'Power Summary'!$B$1:$BS$24,MATCH($A18,'Power Summary'!$A:$A,0), FALSE), "")</f>
        <v/>
      </c>
      <c r="X18" s="107">
        <f>X19-SUBTOTAL(109, X4:X17)</f>
        <v>19.852662846062458</v>
      </c>
      <c r="Y18" s="92" t="str">
        <f>IFERROR(HLOOKUP(X$2,'Power Summary'!$B$1:$BS$24,MATCH($A18,'Power Summary'!$A:$A,0), FALSE), "")</f>
        <v/>
      </c>
      <c r="Z18" s="104">
        <f>Z19-SUBTOTAL(109, Z4:Z17)</f>
        <v>20.448526729112928</v>
      </c>
      <c r="AA18" s="91" t="str">
        <f>IFERROR(HLOOKUP(Z$2,'Power Summary'!$B$1:$BS$24,MATCH($A18,'Power Summary'!$A:$A,0), FALSE), "")</f>
        <v/>
      </c>
      <c r="AB18" s="107">
        <f>AB19-SUBTOTAL(109, AB4:AB17)</f>
        <v>17.033095014111836</v>
      </c>
      <c r="AC18" s="92" t="str">
        <f>IFERROR(HLOOKUP(AB$2,'Power Summary'!$B$1:$BS$24,MATCH($A18,'Power Summary'!$A:$A,0), FALSE), "")</f>
        <v/>
      </c>
      <c r="AD18" s="104">
        <f>AD19-SUBTOTAL(109, AD4:AD17)</f>
        <v>18.35280748600303</v>
      </c>
      <c r="AE18" s="91" t="str">
        <f>IFERROR(HLOOKUP(AD$2,'Power Summary'!$B$1:$BS$24,MATCH($A18,'Power Summary'!$A:$A,0), FALSE), "")</f>
        <v/>
      </c>
      <c r="AF18" s="107">
        <f>AF19-SUBTOTAL(109, AF4:AF17)</f>
        <v>1.7474044327502725</v>
      </c>
      <c r="AG18" s="92" t="str">
        <f>IFERROR(HLOOKUP(AF$2,'Power Summary'!$B$1:$BS$24,MATCH($A18,'Power Summary'!$A:$A,0), FALSE), "")</f>
        <v/>
      </c>
      <c r="AH18" s="104">
        <f>AH19-SUBTOTAL(109, AH4:AH17)</f>
        <v>18.753504652064748</v>
      </c>
      <c r="AI18" s="91" t="str">
        <f>IFERROR(HLOOKUP(AH$2,'Power Summary'!$B$1:$BS$24,MATCH($A18,'Power Summary'!$A:$A,0), FALSE), "")</f>
        <v/>
      </c>
      <c r="AJ18" s="107">
        <f>AJ19-SUBTOTAL(109, AJ4:AJ17)</f>
        <v>18.539210133992469</v>
      </c>
      <c r="AK18" s="92" t="str">
        <f>IFERROR(HLOOKUP(AJ$2,'Power Summary'!$B$1:$BS$24,MATCH($A18,'Power Summary'!$A:$A,0), FALSE), "")</f>
        <v/>
      </c>
      <c r="AL18" s="104">
        <f>AL19-SUBTOTAL(109, AL4:AL17)</f>
        <v>18.753504652064294</v>
      </c>
      <c r="AM18" s="91" t="str">
        <f>IFERROR(HLOOKUP(AL$2,'Power Summary'!$B$1:$BS$24,MATCH($A18,'Power Summary'!$A:$A,0), FALSE), "")</f>
        <v/>
      </c>
      <c r="AN18" s="107">
        <f>AN19-SUBTOTAL(109, AN4:AN17)</f>
        <v>25.636239344804835</v>
      </c>
      <c r="AO18" s="92" t="str">
        <f>IFERROR(HLOOKUP(AN$2,'Power Summary'!$B$1:$BS$24,MATCH($A18,'Power Summary'!$A:$A,0), FALSE), "")</f>
        <v/>
      </c>
      <c r="AP18" s="104">
        <f>AP19-SUBTOTAL(109, AP4:AP17)</f>
        <v>12.448257772736874</v>
      </c>
      <c r="AQ18" s="91" t="str">
        <f>IFERROR(HLOOKUP(AP$2,'Power Summary'!$B$1:$BS$24,MATCH($A18,'Power Summary'!$A:$A,0), FALSE), "")</f>
        <v/>
      </c>
      <c r="AR18" s="107">
        <f>AR19-SUBTOTAL(109, AR4:AR17)</f>
        <v>12.447661947999741</v>
      </c>
      <c r="AS18" s="92" t="str">
        <f>IFERROR(HLOOKUP(AR$2,'Power Summary'!$B$1:$BS$24,MATCH($A18,'Power Summary'!$A:$A,0), FALSE), "")</f>
        <v/>
      </c>
      <c r="AT18" s="104">
        <f>AT19-SUBTOTAL(109, AT4:AT17)</f>
        <v>12.447154238041549</v>
      </c>
      <c r="AU18" s="91" t="str">
        <f>IFERROR(HLOOKUP(AT$2,'Power Summary'!$B$1:$BS$24,MATCH($A18,'Power Summary'!$A:$A,0), FALSE), "")</f>
        <v/>
      </c>
      <c r="AV18" s="107">
        <f>AV19-SUBTOTAL(109, AV4:AV17)</f>
        <v>12.447879817301597</v>
      </c>
      <c r="AW18" s="92" t="str">
        <f>IFERROR(HLOOKUP(AV$2,'Power Summary'!$B$1:$BS$24,MATCH($A18,'Power Summary'!$A:$A,0), FALSE), "")</f>
        <v/>
      </c>
      <c r="AX18" s="104">
        <f>AX19-SUBTOTAL(109, AX4:AX17)</f>
        <v>12.446176337825534</v>
      </c>
      <c r="AY18" s="91" t="str">
        <f>IFERROR(HLOOKUP(AX$2,'Power Summary'!$B$1:$BS$24,MATCH($A18,'Power Summary'!$A:$A,0), FALSE), "")</f>
        <v/>
      </c>
      <c r="AZ18" s="107">
        <f>AZ19-SUBTOTAL(109, AZ4:AZ17)</f>
        <v>503.70162352941134</v>
      </c>
      <c r="BA18" s="92" t="str">
        <f>IFERROR(HLOOKUP(AZ$2,'Power Summary'!$B$1:$BS$24,MATCH($A18,'Power Summary'!$A:$A,0), FALSE), "")</f>
        <v/>
      </c>
      <c r="BB18" s="104">
        <f>BB19-SUBTOTAL(109, BB4:BB17)</f>
        <v>503.70162352941134</v>
      </c>
      <c r="BC18" s="111" t="str">
        <f>IFERROR(HLOOKUP(BB$2,'Power Summary'!$B$1:$BS$24,MATCH($A18,'Power Summary'!$A:$A,0), FALSE), "")</f>
        <v/>
      </c>
      <c r="BD18" s="115"/>
      <c r="BE18" s="116"/>
    </row>
    <row r="19" spans="1:57" s="1" customFormat="1" ht="15" customHeight="1" thickTop="1" thickBot="1" x14ac:dyDescent="0.4">
      <c r="A19" s="12" t="s">
        <v>129</v>
      </c>
      <c r="B19" s="105">
        <v>2168.3763721793598</v>
      </c>
      <c r="C19" s="93" t="str">
        <f>IFERROR(HLOOKUP(B$2,'Power Summary'!$B$1:$BS$24,MATCH($A19,'Power Summary'!$A:$A,0), FALSE), "")</f>
        <v/>
      </c>
      <c r="D19" s="108">
        <v>1304.483752535278</v>
      </c>
      <c r="E19" s="94" t="str">
        <f>IFERROR(HLOOKUP(D$2,'Power Summary'!$B$1:$BS$24,MATCH($A19,'Power Summary'!$A:$A,0), FALSE), "")</f>
        <v/>
      </c>
      <c r="F19" s="105">
        <v>2298.575670711351</v>
      </c>
      <c r="G19" s="93" t="str">
        <f>IFERROR(HLOOKUP(F$2,'Power Summary'!$B$1:$BS$24,MATCH($A19,'Power Summary'!$A:$A,0), FALSE), "")</f>
        <v/>
      </c>
      <c r="H19" s="108">
        <v>2668.8771550172942</v>
      </c>
      <c r="I19" s="94" t="str">
        <f>IFERROR(HLOOKUP(H$2,'Power Summary'!$B$1:$BS$24,MATCH($A19,'Power Summary'!$A:$A,0), FALSE), "")</f>
        <v/>
      </c>
      <c r="J19" s="105">
        <v>2477.6111710280202</v>
      </c>
      <c r="K19" s="93" t="str">
        <f>IFERROR(HLOOKUP(J$2,'Power Summary'!$B$1:$BS$24,MATCH($A19,'Power Summary'!$A:$A,0), FALSE), "")</f>
        <v/>
      </c>
      <c r="L19" s="108">
        <v>817.30031333305033</v>
      </c>
      <c r="M19" s="94" t="str">
        <f>IFERROR(HLOOKUP(L$2,'Power Summary'!$B$1:$BS$24,MATCH($A19,'Power Summary'!$A:$A,0), FALSE), "")</f>
        <v/>
      </c>
      <c r="N19" s="105">
        <v>543.7229494924868</v>
      </c>
      <c r="O19" s="93" t="str">
        <f>IFERROR(HLOOKUP(N$2,'Power Summary'!$B$1:$BS$24,MATCH($A19,'Power Summary'!$A:$A,0), FALSE), "")</f>
        <v/>
      </c>
      <c r="P19" s="108">
        <v>1149.7404553245151</v>
      </c>
      <c r="Q19" s="94" t="str">
        <f>IFERROR(HLOOKUP(P$2,'Power Summary'!$B$1:$BS$24,MATCH($A19,'Power Summary'!$A:$A,0), FALSE), "")</f>
        <v/>
      </c>
      <c r="R19" s="105">
        <v>918.67276955414172</v>
      </c>
      <c r="S19" s="93" t="str">
        <f>IFERROR(HLOOKUP(R$2,'Power Summary'!$B$1:$BS$24,MATCH($A19,'Power Summary'!$A:$A,0), FALSE), "")</f>
        <v/>
      </c>
      <c r="T19" s="108">
        <v>1298.2926722930581</v>
      </c>
      <c r="U19" s="94" t="str">
        <f>IFERROR(HLOOKUP(T$2,'Power Summary'!$B$1:$BS$24,MATCH($A19,'Power Summary'!$A:$A,0), FALSE), "")</f>
        <v/>
      </c>
      <c r="V19" s="105">
        <v>1025.1397216695921</v>
      </c>
      <c r="W19" s="93" t="str">
        <f>IFERROR(HLOOKUP(V$2,'Power Summary'!$B$1:$BS$24,MATCH($A19,'Power Summary'!$A:$A,0), FALSE), "")</f>
        <v/>
      </c>
      <c r="X19" s="108">
        <v>1456.316192257827</v>
      </c>
      <c r="Y19" s="94" t="str">
        <f>IFERROR(HLOOKUP(X$2,'Power Summary'!$B$1:$BS$24,MATCH($A19,'Power Summary'!$A:$A,0), FALSE), "")</f>
        <v/>
      </c>
      <c r="Z19" s="105">
        <v>1674.9555855526421</v>
      </c>
      <c r="AA19" s="93" t="str">
        <f>IFERROR(HLOOKUP(Z$2,'Power Summary'!$B$1:$BS$24,MATCH($A19,'Power Summary'!$A:$A,0), FALSE), "")</f>
        <v/>
      </c>
      <c r="AB19" s="108">
        <v>573.56838913175886</v>
      </c>
      <c r="AC19" s="94" t="str">
        <f>IFERROR(HLOOKUP(AB$2,'Power Summary'!$B$1:$BS$24,MATCH($A19,'Power Summary'!$A:$A,0), FALSE), "")</f>
        <v/>
      </c>
      <c r="AD19" s="105">
        <v>1212.4775133683561</v>
      </c>
      <c r="AE19" s="93" t="str">
        <f>IFERROR(HLOOKUP(AD$2,'Power Summary'!$B$1:$BS$24,MATCH($A19,'Power Summary'!$A:$A,0), FALSE), "")</f>
        <v/>
      </c>
      <c r="AF19" s="108">
        <v>1733.746227962162</v>
      </c>
      <c r="AG19" s="94" t="str">
        <f>IFERROR(HLOOKUP(AF$2,'Power Summary'!$B$1:$BS$24,MATCH($A19,'Power Summary'!$A:$A,0), FALSE), "")</f>
        <v/>
      </c>
      <c r="AH19" s="105">
        <v>1057.034681122653</v>
      </c>
      <c r="AI19" s="93" t="str">
        <f>IFERROR(HLOOKUP(AH$2,'Power Summary'!$B$1:$BS$24,MATCH($A19,'Power Summary'!$A:$A,0), FALSE), "")</f>
        <v/>
      </c>
      <c r="AJ19" s="108">
        <v>954.4203866045807</v>
      </c>
      <c r="AK19" s="94" t="str">
        <f>IFERROR(HLOOKUP(AJ$2,'Power Summary'!$B$1:$BS$24,MATCH($A19,'Power Summary'!$A:$A,0), FALSE), "")</f>
        <v/>
      </c>
      <c r="AL19" s="105">
        <v>644.21503986360858</v>
      </c>
      <c r="AM19" s="93" t="str">
        <f>IFERROR(HLOOKUP(AL$2,'Power Summary'!$B$1:$BS$24,MATCH($A19,'Power Summary'!$A:$A,0), FALSE), "")</f>
        <v/>
      </c>
      <c r="AN19" s="108">
        <v>1692.862121697746</v>
      </c>
      <c r="AO19" s="94" t="str">
        <f>IFERROR(HLOOKUP(AN$2,'Power Summary'!$B$1:$BS$24,MATCH($A19,'Power Summary'!$A:$A,0), FALSE), "")</f>
        <v/>
      </c>
      <c r="AP19" s="105">
        <v>65.877646987978522</v>
      </c>
      <c r="AQ19" s="93" t="str">
        <f>IFERROR(HLOOKUP(AP$2,'Power Summary'!$B$1:$BS$24,MATCH($A19,'Power Summary'!$A:$A,0), FALSE), "")</f>
        <v/>
      </c>
      <c r="AR19" s="108">
        <v>60.577051163241393</v>
      </c>
      <c r="AS19" s="94" t="str">
        <f>IFERROR(HLOOKUP(AR$2,'Power Summary'!$B$1:$BS$24,MATCH($A19,'Power Summary'!$A:$A,0), FALSE), "")</f>
        <v/>
      </c>
      <c r="AT19" s="105">
        <v>55.576543453283193</v>
      </c>
      <c r="AU19" s="93" t="str">
        <f>IFERROR(HLOOKUP(AT$2,'Power Summary'!$B$1:$BS$24,MATCH($A19,'Power Summary'!$A:$A,0), FALSE), "")</f>
        <v/>
      </c>
      <c r="AV19" s="108">
        <v>62.577269032543242</v>
      </c>
      <c r="AW19" s="94" t="str">
        <f>IFERROR(HLOOKUP(AV$2,'Power Summary'!$B$1:$BS$24,MATCH($A19,'Power Summary'!$A:$A,0), FALSE), "")</f>
        <v/>
      </c>
      <c r="AX19" s="105">
        <v>43.928506729537773</v>
      </c>
      <c r="AY19" s="93" t="str">
        <f>IFERROR(HLOOKUP(AX$2,'Power Summary'!$B$1:$BS$24,MATCH($A19,'Power Summary'!$A:$A,0), FALSE), "")</f>
        <v/>
      </c>
      <c r="AZ19" s="108">
        <v>2789.3851529411759</v>
      </c>
      <c r="BA19" s="94" t="str">
        <f>IFERROR(HLOOKUP(AZ$2,'Power Summary'!$B$1:$BS$24,MATCH($A19,'Power Summary'!$A:$A,0), FALSE), "")</f>
        <v/>
      </c>
      <c r="BB19" s="105">
        <v>3897.2145647058819</v>
      </c>
      <c r="BC19" s="112" t="str">
        <f>IFERROR(HLOOKUP(BB$2,'Power Summary'!$B$1:$BS$24,MATCH($A19,'Power Summary'!$A:$A,0), FALSE), "")</f>
        <v/>
      </c>
      <c r="BD19" s="115"/>
      <c r="BE19" s="116"/>
    </row>
    <row r="20" spans="1:57" s="10" customFormat="1" ht="15" customHeight="1" thickTop="1" thickBot="1" x14ac:dyDescent="0.4">
      <c r="A20" s="13" t="s">
        <v>130</v>
      </c>
      <c r="B20" s="106">
        <v>10</v>
      </c>
      <c r="C20" s="95" t="str">
        <f>IFERROR(HLOOKUP(B$2,'Power Summary'!$B$1:$BS$24,MATCH($A20,'Power Summary'!$A:$A,0), FALSE), "")</f>
        <v/>
      </c>
      <c r="D20" s="109">
        <v>20</v>
      </c>
      <c r="E20" s="96" t="str">
        <f>IFERROR(HLOOKUP(D$2,'Power Summary'!$B$1:$BS$24,MATCH($A20,'Power Summary'!$A:$A,0), FALSE), "")</f>
        <v/>
      </c>
      <c r="F20" s="106">
        <v>10</v>
      </c>
      <c r="G20" s="95" t="str">
        <f>IFERROR(HLOOKUP(F$2,'Power Summary'!$B$1:$BS$24,MATCH($A20,'Power Summary'!$A:$A,0), FALSE), "")</f>
        <v/>
      </c>
      <c r="H20" s="109">
        <v>20</v>
      </c>
      <c r="I20" s="96" t="str">
        <f>IFERROR(HLOOKUP(H$2,'Power Summary'!$B$1:$BS$24,MATCH($A20,'Power Summary'!$A:$A,0), FALSE), "")</f>
        <v/>
      </c>
      <c r="J20" s="106">
        <v>10</v>
      </c>
      <c r="K20" s="95" t="str">
        <f>IFERROR(HLOOKUP(J$2,'Power Summary'!$B$1:$BS$24,MATCH($A20,'Power Summary'!$A:$A,0), FALSE), "")</f>
        <v/>
      </c>
      <c r="L20" s="109">
        <v>20</v>
      </c>
      <c r="M20" s="96" t="str">
        <f>IFERROR(HLOOKUP(L$2,'Power Summary'!$B$1:$BS$24,MATCH($A20,'Power Summary'!$A:$A,0), FALSE), "")</f>
        <v/>
      </c>
      <c r="N20" s="106">
        <v>10</v>
      </c>
      <c r="O20" s="95" t="str">
        <f>IFERROR(HLOOKUP(N$2,'Power Summary'!$B$1:$BS$24,MATCH($A20,'Power Summary'!$A:$A,0), FALSE), "")</f>
        <v/>
      </c>
      <c r="P20" s="109">
        <v>20</v>
      </c>
      <c r="Q20" s="96" t="str">
        <f>IFERROR(HLOOKUP(P$2,'Power Summary'!$B$1:$BS$24,MATCH($A20,'Power Summary'!$A:$A,0), FALSE), "")</f>
        <v/>
      </c>
      <c r="R20" s="106">
        <v>10</v>
      </c>
      <c r="S20" s="95" t="str">
        <f>IFERROR(HLOOKUP(R$2,'Power Summary'!$B$1:$BS$24,MATCH($A20,'Power Summary'!$A:$A,0), FALSE), "")</f>
        <v/>
      </c>
      <c r="T20" s="109">
        <v>20</v>
      </c>
      <c r="U20" s="96" t="str">
        <f>IFERROR(HLOOKUP(T$2,'Power Summary'!$B$1:$BS$24,MATCH($A20,'Power Summary'!$A:$A,0), FALSE), "")</f>
        <v/>
      </c>
      <c r="V20" s="106"/>
      <c r="W20" s="95" t="str">
        <f>IFERROR(HLOOKUP(V$2,'Power Summary'!$B$1:$BS$24,MATCH($A20,'Power Summary'!$A:$A,0), FALSE), "")</f>
        <v/>
      </c>
      <c r="X20" s="109"/>
      <c r="Y20" s="96" t="str">
        <f>IFERROR(HLOOKUP(X$2,'Power Summary'!$B$1:$BS$24,MATCH($A20,'Power Summary'!$A:$A,0), FALSE), "")</f>
        <v/>
      </c>
      <c r="Z20" s="106">
        <v>10</v>
      </c>
      <c r="AA20" s="95" t="str">
        <f>IFERROR(HLOOKUP(Z$2,'Power Summary'!$B$1:$BS$24,MATCH($A20,'Power Summary'!$A:$A,0), FALSE), "")</f>
        <v/>
      </c>
      <c r="AB20" s="109">
        <v>20</v>
      </c>
      <c r="AC20" s="96" t="str">
        <f>IFERROR(HLOOKUP(AB$2,'Power Summary'!$B$1:$BS$24,MATCH($A20,'Power Summary'!$A:$A,0), FALSE), "")</f>
        <v/>
      </c>
      <c r="AD20" s="106">
        <v>10</v>
      </c>
      <c r="AE20" s="95" t="str">
        <f>IFERROR(HLOOKUP(AD$2,'Power Summary'!$B$1:$BS$24,MATCH($A20,'Power Summary'!$A:$A,0), FALSE), "")</f>
        <v/>
      </c>
      <c r="AF20" s="109">
        <v>20</v>
      </c>
      <c r="AG20" s="96" t="str">
        <f>IFERROR(HLOOKUP(AF$2,'Power Summary'!$B$1:$BS$24,MATCH($A20,'Power Summary'!$A:$A,0), FALSE), "")</f>
        <v/>
      </c>
      <c r="AH20" s="106">
        <v>10</v>
      </c>
      <c r="AI20" s="95" t="str">
        <f>IFERROR(HLOOKUP(AH$2,'Power Summary'!$B$1:$BS$24,MATCH($A20,'Power Summary'!$A:$A,0), FALSE), "")</f>
        <v/>
      </c>
      <c r="AJ20" s="109">
        <v>20</v>
      </c>
      <c r="AK20" s="96" t="str">
        <f>IFERROR(HLOOKUP(AJ$2,'Power Summary'!$B$1:$BS$24,MATCH($A20,'Power Summary'!$A:$A,0), FALSE), "")</f>
        <v/>
      </c>
      <c r="AL20" s="106">
        <v>10</v>
      </c>
      <c r="AM20" s="95" t="str">
        <f>IFERROR(HLOOKUP(AL$2,'Power Summary'!$B$1:$BS$24,MATCH($A20,'Power Summary'!$A:$A,0), FALSE), "")</f>
        <v/>
      </c>
      <c r="AN20" s="109">
        <v>20</v>
      </c>
      <c r="AO20" s="96" t="str">
        <f>IFERROR(HLOOKUP(AN$2,'Power Summary'!$B$1:$BS$24,MATCH($A20,'Power Summary'!$A:$A,0), FALSE), "")</f>
        <v/>
      </c>
      <c r="AP20" s="106">
        <v>10</v>
      </c>
      <c r="AQ20" s="95" t="str">
        <f>IFERROR(HLOOKUP(AP$2,'Power Summary'!$B$1:$BS$24,MATCH($A20,'Power Summary'!$A:$A,0), FALSE), "")</f>
        <v/>
      </c>
      <c r="AR20" s="109">
        <v>10</v>
      </c>
      <c r="AS20" s="96" t="str">
        <f>IFERROR(HLOOKUP(AR$2,'Power Summary'!$B$1:$BS$24,MATCH($A20,'Power Summary'!$A:$A,0), FALSE), "")</f>
        <v/>
      </c>
      <c r="AT20" s="106">
        <v>20</v>
      </c>
      <c r="AU20" s="95" t="str">
        <f>IFERROR(HLOOKUP(AT$2,'Power Summary'!$B$1:$BS$24,MATCH($A20,'Power Summary'!$A:$A,0), FALSE), "")</f>
        <v/>
      </c>
      <c r="AV20" s="109">
        <v>10</v>
      </c>
      <c r="AW20" s="96" t="str">
        <f>IFERROR(HLOOKUP(AV$2,'Power Summary'!$B$1:$BS$24,MATCH($A20,'Power Summary'!$A:$A,0), FALSE), "")</f>
        <v/>
      </c>
      <c r="AX20" s="106">
        <v>20</v>
      </c>
      <c r="AY20" s="95" t="str">
        <f>IFERROR(HLOOKUP(AX$2,'Power Summary'!$B$1:$BS$24,MATCH($A20,'Power Summary'!$A:$A,0), FALSE), "")</f>
        <v/>
      </c>
      <c r="AZ20" s="109">
        <v>10</v>
      </c>
      <c r="BA20" s="96" t="str">
        <f>IFERROR(HLOOKUP(AZ$2,'Power Summary'!$B$1:$BS$24,MATCH($A20,'Power Summary'!$A:$A,0), FALSE), "")</f>
        <v/>
      </c>
      <c r="BB20" s="106">
        <v>20</v>
      </c>
      <c r="BC20" s="113" t="str">
        <f>IFERROR(HLOOKUP(BB$2,'Power Summary'!$B$1:$BS$24,MATCH($A20,'Power Summary'!$A:$A,0), FALSE), "")</f>
        <v/>
      </c>
      <c r="BD20" s="117"/>
      <c r="BE20" s="118"/>
    </row>
    <row r="21" spans="1:57" ht="15" customHeight="1" thickBot="1" x14ac:dyDescent="0.4">
      <c r="A21" s="63" t="s">
        <v>137</v>
      </c>
      <c r="B21" s="64">
        <f>IF(B$19&lt;&gt;0, 1000*Variable_Battery_Available/B19,0)</f>
        <v>6.2549104362211336</v>
      </c>
      <c r="C21" s="65" t="str">
        <f>IFERROR(IF(C$19&lt;&gt;0, 1000*Variable_Battery_Available/C19,0),"")</f>
        <v/>
      </c>
      <c r="D21" s="64">
        <f>IF(D$19&lt;&gt;0, 1000*Variable_Battery_Available/D19,0)</f>
        <v>10.397216503187689</v>
      </c>
      <c r="E21" s="65" t="str">
        <f>IFERROR(IF(E$19&lt;&gt;0, 1000*Variable_Battery_Available/E19,0),"")</f>
        <v/>
      </c>
      <c r="F21" s="64">
        <f>IF(F$19&lt;&gt;0, 1000*Variable_Battery_Available/F19,0)</f>
        <v>5.9006106141385342</v>
      </c>
      <c r="G21" s="65" t="str">
        <f>IFERROR(IF(G$19&lt;&gt;0, 1000*Variable_Battery_Available/G19,0),"")</f>
        <v/>
      </c>
      <c r="H21" s="64">
        <f>IF(H$19&lt;&gt;0, 1000*Variable_Battery_Available/H19,0)</f>
        <v>5.0819124344118078</v>
      </c>
      <c r="I21" s="65" t="str">
        <f>IFERROR(IF(I$19&lt;&gt;0, 1000*Variable_Battery_Available/I19,0),"")</f>
        <v/>
      </c>
      <c r="J21" s="64">
        <f>IF(J$19&lt;&gt;0, 1000*Variable_Battery_Available/J19,0)</f>
        <v>5.4742245912510903</v>
      </c>
      <c r="K21" s="65" t="str">
        <f>IFERROR(IF(K$19&lt;&gt;0, 1000*Variable_Battery_Available/K19,0),"")</f>
        <v/>
      </c>
      <c r="L21" s="64">
        <f>IF(L$19&lt;&gt;0, 1000*Variable_Battery_Available/L19,0)</f>
        <v>16.594879236847994</v>
      </c>
      <c r="M21" s="65" t="str">
        <f>IFERROR(IF(M$19&lt;&gt;0, 1000*Variable_Battery_Available/M19,0),"")</f>
        <v/>
      </c>
      <c r="N21" s="64">
        <f>IF(N$19&lt;&gt;0, 1000*Variable_Battery_Available/N19,0)</f>
        <v>24.944689225753219</v>
      </c>
      <c r="O21" s="65" t="str">
        <f>IFERROR(IF(O$19&lt;&gt;0, 1000*Variable_Battery_Available/O19,0),"")</f>
        <v/>
      </c>
      <c r="P21" s="64">
        <f>IF(P$19&lt;&gt;0, 1000*Variable_Battery_Available/P19,0)</f>
        <v>11.796575424643844</v>
      </c>
      <c r="Q21" s="65" t="str">
        <f>IFERROR(IF(Q$19&lt;&gt;0, 1000*Variable_Battery_Available/Q19,0),"")</f>
        <v/>
      </c>
      <c r="R21" s="64">
        <f>IF(R$19&lt;&gt;0, 1000*Variable_Battery_Available/R19,0)</f>
        <v>14.763690020530936</v>
      </c>
      <c r="S21" s="65" t="str">
        <f>IFERROR(IF(S$19&lt;&gt;0, 1000*Variable_Battery_Available/S19,0),"")</f>
        <v/>
      </c>
      <c r="T21" s="64">
        <f>IF(T$19&lt;&gt;0, 1000*Variable_Battery_Available/T19,0)</f>
        <v>10.446797004595956</v>
      </c>
      <c r="U21" s="65" t="str">
        <f>IFERROR(IF(U$19&lt;&gt;0, 1000*Variable_Battery_Available/U19,0),"")</f>
        <v/>
      </c>
      <c r="V21" s="64"/>
      <c r="W21" s="65" t="str">
        <f>IFERROR(IF(W$19&lt;&gt;0, 1000*Variable_Battery_Available/W19,0),"")</f>
        <v/>
      </c>
      <c r="X21" s="64"/>
      <c r="Y21" s="65" t="str">
        <f>IFERROR(IF(Y$19&lt;&gt;0, 1000*Variable_Battery_Available/Y19,0),"")</f>
        <v/>
      </c>
      <c r="Z21" s="64">
        <f>IF(Z$19&lt;&gt;0, 1000*Variable_Battery_Available/Z19,0)</f>
        <v>8.0975281476045602</v>
      </c>
      <c r="AA21" s="65" t="str">
        <f>IFERROR(IF(AA$19&lt;&gt;0, 1000*Variable_Battery_Available/AA19,0),"")</f>
        <v/>
      </c>
      <c r="AB21" s="64">
        <f>IF(AB$19&lt;&gt;0, 1000*Variable_Battery_Available/AB19,0)</f>
        <v>23.646700649823181</v>
      </c>
      <c r="AC21" s="65" t="str">
        <f>IFERROR(IF(AC$19&lt;&gt;0, 1000*Variable_Battery_Available/AC19,0),"")</f>
        <v/>
      </c>
      <c r="AD21" s="64">
        <f>IF(AD$19&lt;&gt;0, 1000*Variable_Battery_Available/AD19,0)</f>
        <v>11.186186836835381</v>
      </c>
      <c r="AE21" s="65" t="str">
        <f>IFERROR(IF(AE$19&lt;&gt;0, 1000*Variable_Battery_Available/AE19,0),"")</f>
        <v/>
      </c>
      <c r="AF21" s="64">
        <f>IF(AF$19&lt;&gt;0, 1000*Variable_Battery_Available/AF19,0)</f>
        <v>7.8229442009756474</v>
      </c>
      <c r="AG21" s="65" t="str">
        <f>IFERROR(IF(AG$19&lt;&gt;0, 1000*Variable_Battery_Available/AG19,0),"")</f>
        <v/>
      </c>
      <c r="AH21" s="64">
        <f>IF(AH$19&lt;&gt;0, 1000*Variable_Battery_Available/AH19,0)</f>
        <v>12.831177862201303</v>
      </c>
      <c r="AI21" s="65" t="str">
        <f>IFERROR(IF(AI$19&lt;&gt;0, 1000*Variable_Battery_Available/AI19,0),"")</f>
        <v/>
      </c>
      <c r="AJ21" s="64">
        <f>IF(AJ$19&lt;&gt;0, 1000*Variable_Battery_Available/AJ19,0)</f>
        <v>14.210719081820274</v>
      </c>
      <c r="AK21" s="65" t="str">
        <f>IFERROR(IF(AK$19&lt;&gt;0, 1000*Variable_Battery_Available/AK19,0),"")</f>
        <v/>
      </c>
      <c r="AL21" s="64">
        <f>IF(AL$19&lt;&gt;0, 1000*Variable_Battery_Available/AL19,0)</f>
        <v>21.053528962738156</v>
      </c>
      <c r="AM21" s="65" t="str">
        <f>IFERROR(IF(AM$19&lt;&gt;0, 1000*Variable_Battery_Available/AM19,0),"")</f>
        <v/>
      </c>
      <c r="AN21" s="64">
        <f>IF(AN$19&lt;&gt;0, 1000*Variable_Battery_Available/AN19,0)</f>
        <v>8.0118751705530915</v>
      </c>
      <c r="AO21" s="65" t="str">
        <f>IFERROR(IF(AO$19&lt;&gt;0, 1000*Variable_Battery_Available/AO19,0),"")</f>
        <v/>
      </c>
      <c r="AP21" s="64">
        <f>IF(AP$19&lt;&gt;0, 1000*Variable_Battery_Available/AP19,0)</f>
        <v>205.88167034069994</v>
      </c>
      <c r="AQ21" s="65" t="str">
        <f>IFERROR(IF(AQ$19&lt;&gt;0, 1000*Variable_Battery_Available/AQ19,0),"")</f>
        <v/>
      </c>
      <c r="AR21" s="64">
        <f>IF(AR$19&lt;&gt;0, 1000*Variable_Battery_Available/AR19,0)</f>
        <v>223.89666944088768</v>
      </c>
      <c r="AS21" s="65" t="str">
        <f>IFERROR(IF(AS$19&lt;&gt;0, 1000*Variable_Battery_Available/AS19,0),"")</f>
        <v/>
      </c>
      <c r="AT21" s="64">
        <f>IF(AT$19&lt;&gt;0, 1000*Variable_Battery_Available/AT19,0)</f>
        <v>244.04180535986106</v>
      </c>
      <c r="AU21" s="65" t="str">
        <f>IFERROR(IF(AU$19&lt;&gt;0, 1000*Variable_Battery_Available/AU19,0),"")</f>
        <v/>
      </c>
      <c r="AV21" s="64">
        <f>IF(AV$19&lt;&gt;0, 1000*Variable_Battery_Available/AV19,0)</f>
        <v>216.74004330464749</v>
      </c>
      <c r="AW21" s="65" t="str">
        <f>IFERROR(IF(AW$19&lt;&gt;0, 1000*Variable_Battery_Available/AW19,0),"")</f>
        <v/>
      </c>
      <c r="AX21" s="64">
        <f>IF(AX$19&lt;&gt;0, 1000*Variable_Battery_Available/AX19,0)</f>
        <v>308.75167424892595</v>
      </c>
      <c r="AY21" s="65" t="str">
        <f>IFERROR(IF(AY$19&lt;&gt;0, 1000*Variable_Battery_Available/AY19,0),"")</f>
        <v/>
      </c>
      <c r="AZ21" s="64">
        <f>IF(AZ$19&lt;&gt;0, 1000*Variable_Battery_Available/AZ19,0)</f>
        <v>4.8623618669866859</v>
      </c>
      <c r="BA21" s="65" t="str">
        <f>IFERROR(IF(BA$19&lt;&gt;0, 1000*Variable_Battery_Available/BA19,0),"")</f>
        <v/>
      </c>
      <c r="BB21" s="64">
        <f>IF(BB$19&lt;&gt;0, 1000*Variable_Battery_Available/BB19,0)</f>
        <v>3.4801779000904411</v>
      </c>
      <c r="BC21" s="114" t="str">
        <f>IFERROR(IF(BC$19&lt;&gt;0, 1000*Variable_Battery_Available/BC19,0),"")</f>
        <v/>
      </c>
    </row>
    <row r="23" spans="1:57" x14ac:dyDescent="0.35">
      <c r="A23" s="11"/>
      <c r="C23" s="67"/>
    </row>
    <row r="24" spans="1:57" x14ac:dyDescent="0.35">
      <c r="A24" s="11"/>
      <c r="C24" s="67"/>
    </row>
    <row r="25" spans="1:57" x14ac:dyDescent="0.35">
      <c r="A25" s="11"/>
    </row>
    <row r="26" spans="1:57" x14ac:dyDescent="0.35">
      <c r="A26" s="11"/>
      <c r="C26" s="67"/>
    </row>
    <row r="27" spans="1:57" x14ac:dyDescent="0.35">
      <c r="A27" s="11"/>
      <c r="C27" s="67"/>
    </row>
    <row r="28" spans="1:57" x14ac:dyDescent="0.35">
      <c r="A28" s="11"/>
      <c r="C28" s="67"/>
    </row>
    <row r="29" spans="1:57" x14ac:dyDescent="0.35">
      <c r="A29" s="11"/>
      <c r="C29" s="67"/>
    </row>
    <row r="30" spans="1:57" x14ac:dyDescent="0.35">
      <c r="A30" s="11"/>
      <c r="C30" s="67"/>
      <c r="AN30" s="101"/>
      <c r="AO30" s="102"/>
    </row>
    <row r="31" spans="1:57" x14ac:dyDescent="0.35">
      <c r="A31" s="11"/>
      <c r="C31" s="67"/>
      <c r="AN31" s="101"/>
    </row>
    <row r="32" spans="1:57" x14ac:dyDescent="0.35">
      <c r="A32" s="11"/>
      <c r="C32" s="67"/>
    </row>
    <row r="33" spans="1:3" x14ac:dyDescent="0.35">
      <c r="A33" s="11"/>
      <c r="C33" s="67"/>
    </row>
    <row r="34" spans="1:3" x14ac:dyDescent="0.35">
      <c r="A34" s="11"/>
      <c r="C34" s="67"/>
    </row>
    <row r="35" spans="1:3" x14ac:dyDescent="0.35">
      <c r="A35" s="11"/>
      <c r="C35" s="67"/>
    </row>
    <row r="36" spans="1:3" x14ac:dyDescent="0.35">
      <c r="A36" s="11"/>
    </row>
    <row r="37" spans="1:3" x14ac:dyDescent="0.35">
      <c r="A37" s="11"/>
    </row>
    <row r="38" spans="1:3" x14ac:dyDescent="0.35">
      <c r="A38" s="11"/>
    </row>
    <row r="39" spans="1:3" x14ac:dyDescent="0.35">
      <c r="A39" s="11"/>
    </row>
    <row r="40" spans="1:3" x14ac:dyDescent="0.35">
      <c r="A40" s="11"/>
    </row>
    <row r="41" spans="1:3" x14ac:dyDescent="0.35">
      <c r="A41" s="11"/>
    </row>
    <row r="42" spans="1:3" x14ac:dyDescent="0.35">
      <c r="A42" s="11"/>
    </row>
    <row r="43" spans="1:3" x14ac:dyDescent="0.35">
      <c r="A43" s="11"/>
    </row>
    <row r="44" spans="1:3" ht="15" customHeight="1" x14ac:dyDescent="0.35"/>
    <row r="45" spans="1:3" s="14" customFormat="1" ht="15" customHeight="1" x14ac:dyDescent="0.35"/>
    <row r="46" spans="1:3" s="5" customFormat="1" ht="15" customHeight="1" x14ac:dyDescent="0.35"/>
    <row r="49" spans="1:1" x14ac:dyDescent="0.35">
      <c r="A49" s="11"/>
    </row>
    <row r="50" spans="1:1" x14ac:dyDescent="0.35">
      <c r="A50" s="11"/>
    </row>
    <row r="51" spans="1:1" x14ac:dyDescent="0.35">
      <c r="A51" s="11"/>
    </row>
    <row r="52" spans="1:1" x14ac:dyDescent="0.35">
      <c r="A52" s="11"/>
    </row>
    <row r="53" spans="1:1" x14ac:dyDescent="0.35">
      <c r="A53" s="11"/>
    </row>
  </sheetData>
  <mergeCells count="54">
    <mergeCell ref="AL1:AM1"/>
    <mergeCell ref="AB1:AC1"/>
    <mergeCell ref="AD1:AE1"/>
    <mergeCell ref="AF1:AG1"/>
    <mergeCell ref="AH1:AI1"/>
    <mergeCell ref="AJ1:AK1"/>
    <mergeCell ref="AJ2:AK2"/>
    <mergeCell ref="Z1:AA1"/>
    <mergeCell ref="AB2:AC2"/>
    <mergeCell ref="AD2:AE2"/>
    <mergeCell ref="AF2:AG2"/>
    <mergeCell ref="AH2:AI2"/>
    <mergeCell ref="AN1:AO1"/>
    <mergeCell ref="AR1:AS1"/>
    <mergeCell ref="AT1:AU1"/>
    <mergeCell ref="AP1:AQ1"/>
    <mergeCell ref="AT2:AU2"/>
    <mergeCell ref="AP2:AQ2"/>
    <mergeCell ref="AN2:AO2"/>
    <mergeCell ref="AR2:AS2"/>
    <mergeCell ref="BB2:BC2"/>
    <mergeCell ref="AZ1:BA1"/>
    <mergeCell ref="AX1:AY1"/>
    <mergeCell ref="AV1:AW1"/>
    <mergeCell ref="BB1:BC1"/>
    <mergeCell ref="AX2:AY2"/>
    <mergeCell ref="AZ2:BA2"/>
    <mergeCell ref="AV2:AW2"/>
    <mergeCell ref="V1:W1"/>
    <mergeCell ref="X1:Y1"/>
    <mergeCell ref="V2:W2"/>
    <mergeCell ref="X2:Y2"/>
    <mergeCell ref="T1:U1"/>
    <mergeCell ref="L2:M2"/>
    <mergeCell ref="N2:O2"/>
    <mergeCell ref="P2:Q2"/>
    <mergeCell ref="Z2:AA2"/>
    <mergeCell ref="T2:U2"/>
    <mergeCell ref="AL2:AM2"/>
    <mergeCell ref="R2:S2"/>
    <mergeCell ref="B1:C1"/>
    <mergeCell ref="D1:E1"/>
    <mergeCell ref="F1:G1"/>
    <mergeCell ref="H1:I1"/>
    <mergeCell ref="J1:K1"/>
    <mergeCell ref="B2:C2"/>
    <mergeCell ref="D2:E2"/>
    <mergeCell ref="F2:G2"/>
    <mergeCell ref="H2:I2"/>
    <mergeCell ref="J2:K2"/>
    <mergeCell ref="L1:M1"/>
    <mergeCell ref="N1:O1"/>
    <mergeCell ref="P1:Q1"/>
    <mergeCell ref="R1:S1"/>
  </mergeCells>
  <conditionalFormatting sqref="B4:CA19">
    <cfRule type="expression" dxfId="8" priority="1" stopIfTrue="1">
      <formula>IF(B$3="Measured", IF( OR((B4/A4 &lt; 1), (B4-A4)&lt;2),1,0), 0)</formula>
    </cfRule>
    <cfRule type="expression" dxfId="7" priority="2" stopIfTrue="1">
      <formula>IF(B$3="Measured", IF( OR((B4/A4 &gt; 1.1), (0)),1,0), 0)</formula>
    </cfRule>
    <cfRule type="expression" dxfId="6" priority="3" stopIfTrue="1">
      <formula>IF(B$3="Measured", IF( AND((B4/A4 &gt; 1), (B4/A4 &lt;= 1.1)),1,0), 0)</formula>
    </cfRule>
  </conditionalFormatting>
  <hyperlinks>
    <hyperlink ref="A2" location="HoBL!A1" display="HoBL" xr:uid="{00000000-0004-0000-0400-000000000000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"/>
  <sheetViews>
    <sheetView workbookViewId="0"/>
  </sheetViews>
  <sheetFormatPr defaultRowHeight="14.5" x14ac:dyDescent="0.35"/>
  <cols>
    <col min="1" max="2" width="40" customWidth="1"/>
  </cols>
  <sheetData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E102"/>
  <sheetViews>
    <sheetView workbookViewId="0"/>
  </sheetViews>
  <sheetFormatPr defaultRowHeight="14.5" x14ac:dyDescent="0.35"/>
  <cols>
    <col min="1" max="1" width="30" bestFit="1" customWidth="1"/>
    <col min="2" max="31" width="15" customWidth="1"/>
  </cols>
  <sheetData>
    <row r="1" spans="1:31" x14ac:dyDescent="0.35">
      <c r="A1" s="11" t="s">
        <v>139</v>
      </c>
      <c r="AE1" s="11"/>
    </row>
    <row r="2" spans="1:31" x14ac:dyDescent="0.35">
      <c r="A2" s="11" t="s">
        <v>118</v>
      </c>
      <c r="AE2" s="69"/>
    </row>
    <row r="3" spans="1:31" x14ac:dyDescent="0.35">
      <c r="A3" s="11" t="s">
        <v>119</v>
      </c>
      <c r="AE3" s="69"/>
    </row>
    <row r="4" spans="1:31" x14ac:dyDescent="0.35">
      <c r="A4" s="11" t="s">
        <v>120</v>
      </c>
      <c r="AE4" s="69"/>
    </row>
    <row r="5" spans="1:31" x14ac:dyDescent="0.35">
      <c r="A5" s="11" t="s">
        <v>121</v>
      </c>
      <c r="AE5" s="69"/>
    </row>
    <row r="6" spans="1:31" x14ac:dyDescent="0.35">
      <c r="A6" s="11" t="s">
        <v>122</v>
      </c>
      <c r="AE6" s="69"/>
    </row>
    <row r="7" spans="1:31" x14ac:dyDescent="0.35">
      <c r="A7" s="11" t="s">
        <v>123</v>
      </c>
      <c r="AE7" s="69"/>
    </row>
    <row r="8" spans="1:31" x14ac:dyDescent="0.35">
      <c r="A8" s="11" t="s">
        <v>124</v>
      </c>
      <c r="AE8" s="69"/>
    </row>
    <row r="9" spans="1:31" x14ac:dyDescent="0.35">
      <c r="A9" s="11" t="s">
        <v>125</v>
      </c>
      <c r="AE9" s="69"/>
    </row>
    <row r="10" spans="1:31" x14ac:dyDescent="0.35">
      <c r="A10" s="11" t="s">
        <v>126</v>
      </c>
      <c r="AE10" s="69"/>
    </row>
    <row r="11" spans="1:31" x14ac:dyDescent="0.35">
      <c r="A11" t="s">
        <v>127</v>
      </c>
      <c r="AE11" s="69"/>
    </row>
    <row r="12" spans="1:31" x14ac:dyDescent="0.35">
      <c r="A12" s="11" t="s">
        <v>128</v>
      </c>
      <c r="AE12" s="69"/>
    </row>
    <row r="13" spans="1:31" x14ac:dyDescent="0.35">
      <c r="A13" s="11" t="s">
        <v>129</v>
      </c>
      <c r="AE13" s="69"/>
    </row>
    <row r="14" spans="1:31" x14ac:dyDescent="0.35">
      <c r="A14" s="11" t="s">
        <v>130</v>
      </c>
      <c r="AE14" s="69"/>
    </row>
    <row r="15" spans="1:31" x14ac:dyDescent="0.35">
      <c r="A15" s="11" t="s">
        <v>194</v>
      </c>
      <c r="AE15" s="69"/>
    </row>
    <row r="16" spans="1:31" x14ac:dyDescent="0.35">
      <c r="A16" s="11" t="s">
        <v>195</v>
      </c>
      <c r="AE16" s="69"/>
    </row>
    <row r="17" spans="1:31" x14ac:dyDescent="0.35">
      <c r="A17" s="11" t="s">
        <v>196</v>
      </c>
      <c r="AE17" s="69"/>
    </row>
    <row r="18" spans="1:31" x14ac:dyDescent="0.35">
      <c r="A18" s="11" t="s">
        <v>129</v>
      </c>
      <c r="AE18" s="69"/>
    </row>
    <row r="19" spans="1:31" x14ac:dyDescent="0.35">
      <c r="A19" s="11" t="s">
        <v>130</v>
      </c>
    </row>
    <row r="20" spans="1:31" x14ac:dyDescent="0.35">
      <c r="A20" s="11" t="s">
        <v>194</v>
      </c>
    </row>
    <row r="21" spans="1:31" x14ac:dyDescent="0.35">
      <c r="A21" s="11" t="s">
        <v>195</v>
      </c>
    </row>
    <row r="22" spans="1:31" x14ac:dyDescent="0.35">
      <c r="A22" t="s">
        <v>196</v>
      </c>
    </row>
    <row r="23" spans="1:31" x14ac:dyDescent="0.35">
      <c r="A23" t="s">
        <v>18</v>
      </c>
    </row>
    <row r="24" spans="1:31" x14ac:dyDescent="0.35">
      <c r="A24" t="s">
        <v>138</v>
      </c>
    </row>
    <row r="25" spans="1:31" x14ac:dyDescent="0.35">
      <c r="A25" t="s">
        <v>144</v>
      </c>
    </row>
    <row r="26" spans="1:31" x14ac:dyDescent="0.35">
      <c r="A26" t="s">
        <v>145</v>
      </c>
    </row>
    <row r="27" spans="1:31" x14ac:dyDescent="0.35">
      <c r="A27" t="s">
        <v>146</v>
      </c>
    </row>
    <row r="28" spans="1:31" x14ac:dyDescent="0.35">
      <c r="A28" t="s">
        <v>197</v>
      </c>
    </row>
    <row r="29" spans="1:31" x14ac:dyDescent="0.35">
      <c r="A29" t="s">
        <v>198</v>
      </c>
    </row>
    <row r="30" spans="1:31" x14ac:dyDescent="0.35">
      <c r="A30" t="s">
        <v>199</v>
      </c>
    </row>
    <row r="31" spans="1:31" x14ac:dyDescent="0.35">
      <c r="A31" t="s">
        <v>200</v>
      </c>
    </row>
    <row r="32" spans="1:31" x14ac:dyDescent="0.35">
      <c r="A32" t="s">
        <v>147</v>
      </c>
    </row>
    <row r="33" spans="1:1" x14ac:dyDescent="0.35">
      <c r="A33" t="s">
        <v>148</v>
      </c>
    </row>
    <row r="34" spans="1:1" x14ac:dyDescent="0.35">
      <c r="A34" t="s">
        <v>149</v>
      </c>
    </row>
    <row r="35" spans="1:1" x14ac:dyDescent="0.35">
      <c r="A35" t="s">
        <v>150</v>
      </c>
    </row>
    <row r="36" spans="1:1" x14ac:dyDescent="0.35">
      <c r="A36" t="s">
        <v>151</v>
      </c>
    </row>
    <row r="37" spans="1:1" x14ac:dyDescent="0.35">
      <c r="A37" t="s">
        <v>152</v>
      </c>
    </row>
    <row r="38" spans="1:1" x14ac:dyDescent="0.35">
      <c r="A38" t="s">
        <v>153</v>
      </c>
    </row>
    <row r="39" spans="1:1" x14ac:dyDescent="0.35">
      <c r="A39" t="s">
        <v>154</v>
      </c>
    </row>
    <row r="40" spans="1:1" x14ac:dyDescent="0.35">
      <c r="A40" t="s">
        <v>155</v>
      </c>
    </row>
    <row r="41" spans="1:1" x14ac:dyDescent="0.35">
      <c r="A41" t="s">
        <v>156</v>
      </c>
    </row>
    <row r="42" spans="1:1" x14ac:dyDescent="0.35">
      <c r="A42" t="s">
        <v>157</v>
      </c>
    </row>
    <row r="43" spans="1:1" x14ac:dyDescent="0.35">
      <c r="A43" t="s">
        <v>158</v>
      </c>
    </row>
    <row r="44" spans="1:1" x14ac:dyDescent="0.35">
      <c r="A44" t="s">
        <v>159</v>
      </c>
    </row>
    <row r="45" spans="1:1" x14ac:dyDescent="0.35">
      <c r="A45" t="s">
        <v>160</v>
      </c>
    </row>
    <row r="46" spans="1:1" x14ac:dyDescent="0.35">
      <c r="A46" t="s">
        <v>161</v>
      </c>
    </row>
    <row r="47" spans="1:1" x14ac:dyDescent="0.35">
      <c r="A47" t="s">
        <v>162</v>
      </c>
    </row>
    <row r="48" spans="1:1" x14ac:dyDescent="0.35">
      <c r="A48" t="s">
        <v>163</v>
      </c>
    </row>
    <row r="49" spans="1:1" x14ac:dyDescent="0.35">
      <c r="A49" t="s">
        <v>164</v>
      </c>
    </row>
    <row r="50" spans="1:1" x14ac:dyDescent="0.35">
      <c r="A50" t="s">
        <v>201</v>
      </c>
    </row>
    <row r="51" spans="1:1" x14ac:dyDescent="0.35">
      <c r="A51" t="s">
        <v>202</v>
      </c>
    </row>
    <row r="52" spans="1:1" x14ac:dyDescent="0.35">
      <c r="A52" t="s">
        <v>203</v>
      </c>
    </row>
    <row r="53" spans="1:1" x14ac:dyDescent="0.35">
      <c r="A53" t="s">
        <v>204</v>
      </c>
    </row>
    <row r="54" spans="1:1" x14ac:dyDescent="0.35">
      <c r="A54" t="s">
        <v>205</v>
      </c>
    </row>
    <row r="55" spans="1:1" x14ac:dyDescent="0.35">
      <c r="A55" t="s">
        <v>206</v>
      </c>
    </row>
    <row r="56" spans="1:1" x14ac:dyDescent="0.35">
      <c r="A56" t="s">
        <v>207</v>
      </c>
    </row>
    <row r="57" spans="1:1" x14ac:dyDescent="0.35">
      <c r="A57" t="s">
        <v>208</v>
      </c>
    </row>
    <row r="58" spans="1:1" x14ac:dyDescent="0.35">
      <c r="A58" t="s">
        <v>209</v>
      </c>
    </row>
    <row r="59" spans="1:1" x14ac:dyDescent="0.35">
      <c r="A59" t="s">
        <v>210</v>
      </c>
    </row>
    <row r="60" spans="1:1" x14ac:dyDescent="0.35">
      <c r="A60" t="s">
        <v>165</v>
      </c>
    </row>
    <row r="61" spans="1:1" x14ac:dyDescent="0.35">
      <c r="A61" t="s">
        <v>166</v>
      </c>
    </row>
    <row r="62" spans="1:1" x14ac:dyDescent="0.35">
      <c r="A62" t="s">
        <v>167</v>
      </c>
    </row>
    <row r="63" spans="1:1" x14ac:dyDescent="0.35">
      <c r="A63" t="s">
        <v>168</v>
      </c>
    </row>
    <row r="64" spans="1:1" x14ac:dyDescent="0.35">
      <c r="A64" t="s">
        <v>169</v>
      </c>
    </row>
    <row r="65" spans="1:1" x14ac:dyDescent="0.35">
      <c r="A65" t="s">
        <v>170</v>
      </c>
    </row>
    <row r="66" spans="1:1" x14ac:dyDescent="0.35">
      <c r="A66" t="s">
        <v>171</v>
      </c>
    </row>
    <row r="67" spans="1:1" x14ac:dyDescent="0.35">
      <c r="A67" t="s">
        <v>172</v>
      </c>
    </row>
    <row r="68" spans="1:1" x14ac:dyDescent="0.35">
      <c r="A68" t="s">
        <v>173</v>
      </c>
    </row>
    <row r="69" spans="1:1" x14ac:dyDescent="0.35">
      <c r="A69" t="s">
        <v>174</v>
      </c>
    </row>
    <row r="70" spans="1:1" x14ac:dyDescent="0.35">
      <c r="A70" t="s">
        <v>175</v>
      </c>
    </row>
    <row r="71" spans="1:1" x14ac:dyDescent="0.35">
      <c r="A71" t="s">
        <v>176</v>
      </c>
    </row>
    <row r="72" spans="1:1" x14ac:dyDescent="0.35">
      <c r="A72" t="s">
        <v>177</v>
      </c>
    </row>
    <row r="73" spans="1:1" x14ac:dyDescent="0.35">
      <c r="A73" t="s">
        <v>178</v>
      </c>
    </row>
    <row r="74" spans="1:1" x14ac:dyDescent="0.35">
      <c r="A74" t="s">
        <v>179</v>
      </c>
    </row>
    <row r="75" spans="1:1" x14ac:dyDescent="0.35">
      <c r="A75" t="s">
        <v>180</v>
      </c>
    </row>
    <row r="76" spans="1:1" x14ac:dyDescent="0.35">
      <c r="A76" t="s">
        <v>181</v>
      </c>
    </row>
    <row r="77" spans="1:1" x14ac:dyDescent="0.35">
      <c r="A77" t="s">
        <v>182</v>
      </c>
    </row>
    <row r="78" spans="1:1" x14ac:dyDescent="0.35">
      <c r="A78" t="s">
        <v>183</v>
      </c>
    </row>
    <row r="79" spans="1:1" x14ac:dyDescent="0.35">
      <c r="A79" t="s">
        <v>184</v>
      </c>
    </row>
    <row r="80" spans="1:1" x14ac:dyDescent="0.35">
      <c r="A80" t="s">
        <v>185</v>
      </c>
    </row>
    <row r="81" spans="1:1" x14ac:dyDescent="0.35">
      <c r="A81" t="s">
        <v>186</v>
      </c>
    </row>
    <row r="82" spans="1:1" x14ac:dyDescent="0.35">
      <c r="A82" t="s">
        <v>187</v>
      </c>
    </row>
    <row r="83" spans="1:1" x14ac:dyDescent="0.35">
      <c r="A83" t="s">
        <v>188</v>
      </c>
    </row>
    <row r="84" spans="1:1" x14ac:dyDescent="0.35">
      <c r="A84" t="s">
        <v>189</v>
      </c>
    </row>
    <row r="85" spans="1:1" x14ac:dyDescent="0.35">
      <c r="A85" t="s">
        <v>190</v>
      </c>
    </row>
    <row r="86" spans="1:1" x14ac:dyDescent="0.35">
      <c r="A86" t="s">
        <v>191</v>
      </c>
    </row>
    <row r="87" spans="1:1" x14ac:dyDescent="0.35">
      <c r="A87" t="s">
        <v>211</v>
      </c>
    </row>
    <row r="88" spans="1:1" x14ac:dyDescent="0.35">
      <c r="A88" t="s">
        <v>212</v>
      </c>
    </row>
    <row r="89" spans="1:1" x14ac:dyDescent="0.35">
      <c r="A89" t="s">
        <v>213</v>
      </c>
    </row>
    <row r="90" spans="1:1" x14ac:dyDescent="0.35">
      <c r="A90" t="s">
        <v>214</v>
      </c>
    </row>
    <row r="91" spans="1:1" x14ac:dyDescent="0.35">
      <c r="A91" t="s">
        <v>215</v>
      </c>
    </row>
    <row r="92" spans="1:1" x14ac:dyDescent="0.35">
      <c r="A92" t="s">
        <v>216</v>
      </c>
    </row>
    <row r="93" spans="1:1" x14ac:dyDescent="0.35">
      <c r="A93" t="s">
        <v>217</v>
      </c>
    </row>
    <row r="94" spans="1:1" x14ac:dyDescent="0.35">
      <c r="A94" t="s">
        <v>218</v>
      </c>
    </row>
    <row r="95" spans="1:1" x14ac:dyDescent="0.35">
      <c r="A95" t="s">
        <v>219</v>
      </c>
    </row>
    <row r="96" spans="1:1" x14ac:dyDescent="0.35">
      <c r="A96" t="s">
        <v>220</v>
      </c>
    </row>
    <row r="97" spans="1:1" x14ac:dyDescent="0.35">
      <c r="A97" t="s">
        <v>221</v>
      </c>
    </row>
    <row r="98" spans="1:1" x14ac:dyDescent="0.35">
      <c r="A98" t="s">
        <v>222</v>
      </c>
    </row>
    <row r="99" spans="1:1" x14ac:dyDescent="0.35">
      <c r="A99" t="s">
        <v>223</v>
      </c>
    </row>
    <row r="100" spans="1:1" x14ac:dyDescent="0.35">
      <c r="A100" t="s">
        <v>224</v>
      </c>
    </row>
    <row r="101" spans="1:1" x14ac:dyDescent="0.35">
      <c r="A101" t="s">
        <v>192</v>
      </c>
    </row>
    <row r="102" spans="1:1" x14ac:dyDescent="0.35">
      <c r="A102" t="s">
        <v>193</v>
      </c>
    </row>
  </sheetData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HOBL</vt:lpstr>
      <vt:lpstr>Scenarios</vt:lpstr>
      <vt:lpstr>Touch Adder</vt:lpstr>
      <vt:lpstr>Scorecard</vt:lpstr>
      <vt:lpstr>Scorecard Full</vt:lpstr>
      <vt:lpstr>Config</vt:lpstr>
      <vt:lpstr>Power Summary</vt:lpstr>
      <vt:lpstr>HOBL!Score_Prediction_ABL</vt:lpstr>
      <vt:lpstr>HOBL!Score_Prediction_ABL_Active</vt:lpstr>
      <vt:lpstr>HOBL!Score_Prediction_HoBL</vt:lpstr>
      <vt:lpstr>HOBL!Score_Prediction_HoBL_Active</vt:lpstr>
      <vt:lpstr>Score_Prediction_HoBL_ScreenOff</vt:lpstr>
      <vt:lpstr>HOBL!Score_Prediction_LAP</vt:lpstr>
      <vt:lpstr>HOBL!Score_Prediction_LVP</vt:lpstr>
      <vt:lpstr>HOBL!Score_Prediction_Standby</vt:lpstr>
      <vt:lpstr>HOBL!Score_Prediction_Talktime</vt:lpstr>
      <vt:lpstr>HOBL!Variable_Battery_Active</vt:lpstr>
      <vt:lpstr>Variable_Battery_Available</vt:lpstr>
      <vt:lpstr>HOBL!Variable_Battery_FCC</vt:lpstr>
      <vt:lpstr>HOBL!Variable_Battery_Standby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Dan Floyde (Actalent Services LLC)</cp:lastModifiedBy>
  <cp:lastPrinted>2017-10-18T00:43:48Z</cp:lastPrinted>
  <dcterms:created xsi:type="dcterms:W3CDTF">2016-03-07T20:15:48Z</dcterms:created>
  <dcterms:modified xsi:type="dcterms:W3CDTF">2023-08-08T17:00:42Z</dcterms:modified>
</cp:coreProperties>
</file>